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cadrsi-my.sharepoint.com/personal/adriano_casu_unica_it/Documents/ACasu/GitHub/PimenTech/Confronto RL con mask fisica guasti/"/>
    </mc:Choice>
  </mc:AlternateContent>
  <xr:revisionPtr revIDLastSave="12" documentId="8_{27D0EB61-5571-40A5-B93C-9FA2F7794B8C}" xr6:coauthVersionLast="47" xr6:coauthVersionMax="47" xr10:uidLastSave="{62DE38D8-F475-4D9B-AEFD-7C1F84130722}"/>
  <bookViews>
    <workbookView xWindow="28680" yWindow="-120" windowWidth="29040" windowHeight="15720" tabRatio="812" activeTab="4" xr2:uid="{10460458-97A2-4984-BCAF-967CA951B91A}"/>
  </bookViews>
  <sheets>
    <sheet name="Descrizione" sheetId="11" r:id="rId1"/>
    <sheet name="Glossario" sheetId="12" r:id="rId2"/>
    <sheet name="Proprietà Grafiche" sheetId="8" r:id="rId3"/>
    <sheet name="Nodi" sheetId="4" r:id="rId4"/>
    <sheet name="Linee" sheetId="5" r:id="rId5"/>
    <sheet name="Trasformatori" sheetId="6" r:id="rId6"/>
    <sheet name="Carichi_A" sheetId="7" r:id="rId7"/>
    <sheet name="Generatori Rotanti_A" sheetId="9" r:id="rId8"/>
    <sheet name="Generatori Statici_A" sheetId="10" r:id="rId9"/>
    <sheet name="Sistemi di accumulo_A" sheetId="13" r:id="rId10"/>
  </sheets>
  <definedNames>
    <definedName name="_xlnm._FilterDatabase" localSheetId="6" hidden="1">Carichi_A!$A$1:$J$192</definedName>
    <definedName name="_xlnm._FilterDatabase" localSheetId="8" hidden="1">'Generatori Statici_A'!$L$1:$L$71</definedName>
    <definedName name="_xlnm._FilterDatabase" localSheetId="4" hidden="1">Linee!$A$1:$BF$231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1" l="1"/>
  <c r="D15" i="11"/>
  <c r="D4" i="11"/>
  <c r="D14" i="11"/>
</calcChain>
</file>

<file path=xl/sharedStrings.xml><?xml version="1.0" encoding="utf-8"?>
<sst xmlns="http://schemas.openxmlformats.org/spreadsheetml/2006/main" count="3382" uniqueCount="578">
  <si>
    <t>N_001</t>
  </si>
  <si>
    <t>SL</t>
  </si>
  <si>
    <t>N_006</t>
  </si>
  <si>
    <t>PQ</t>
  </si>
  <si>
    <t>N_039</t>
  </si>
  <si>
    <t>N_044</t>
  </si>
  <si>
    <t>N_045</t>
  </si>
  <si>
    <t>N_046</t>
  </si>
  <si>
    <t>N_047</t>
  </si>
  <si>
    <t>N_048</t>
  </si>
  <si>
    <t>N_049</t>
  </si>
  <si>
    <t>N_050</t>
  </si>
  <si>
    <t>N_051</t>
  </si>
  <si>
    <t>N_052</t>
  </si>
  <si>
    <t>N_054</t>
  </si>
  <si>
    <t>N_055</t>
  </si>
  <si>
    <t>N_056</t>
  </si>
  <si>
    <t>N_061</t>
  </si>
  <si>
    <t>N_062</t>
  </si>
  <si>
    <t>N_063</t>
  </si>
  <si>
    <t>N_064</t>
  </si>
  <si>
    <t>N_071</t>
  </si>
  <si>
    <t>N_072</t>
  </si>
  <si>
    <t>N_074</t>
  </si>
  <si>
    <t>N_082</t>
  </si>
  <si>
    <t>N_085</t>
  </si>
  <si>
    <t>N_086</t>
  </si>
  <si>
    <t>N_087</t>
  </si>
  <si>
    <t>N_088</t>
  </si>
  <si>
    <t>N_089</t>
  </si>
  <si>
    <t>N_090</t>
  </si>
  <si>
    <t>N_091</t>
  </si>
  <si>
    <t>N_092</t>
  </si>
  <si>
    <t>N_093</t>
  </si>
  <si>
    <t>N_107</t>
  </si>
  <si>
    <t>N_108</t>
  </si>
  <si>
    <t>N_109</t>
  </si>
  <si>
    <t>N_110</t>
  </si>
  <si>
    <t>N_111</t>
  </si>
  <si>
    <t>N_112</t>
  </si>
  <si>
    <t>N_113</t>
  </si>
  <si>
    <t>N_131</t>
  </si>
  <si>
    <t>N_132</t>
  </si>
  <si>
    <t>N_133</t>
  </si>
  <si>
    <t>N_134</t>
  </si>
  <si>
    <t>N_135</t>
  </si>
  <si>
    <t>N_136</t>
  </si>
  <si>
    <t>N_137</t>
  </si>
  <si>
    <t>N_138</t>
  </si>
  <si>
    <t>N_139</t>
  </si>
  <si>
    <t>N_150</t>
  </si>
  <si>
    <t>N_157</t>
  </si>
  <si>
    <t>N_158</t>
  </si>
  <si>
    <t>N_159</t>
  </si>
  <si>
    <t>N_160</t>
  </si>
  <si>
    <t>N_161</t>
  </si>
  <si>
    <t>N_162</t>
  </si>
  <si>
    <t>N_163</t>
  </si>
  <si>
    <t>N_164</t>
  </si>
  <si>
    <t>N_170</t>
  </si>
  <si>
    <t>N_171</t>
  </si>
  <si>
    <t>N_172</t>
  </si>
  <si>
    <t>N_173</t>
  </si>
  <si>
    <t>N_174</t>
  </si>
  <si>
    <t>N_188</t>
  </si>
  <si>
    <t>N_192</t>
  </si>
  <si>
    <t>N_190</t>
  </si>
  <si>
    <t>N_191</t>
  </si>
  <si>
    <t>N_193</t>
  </si>
  <si>
    <t>N_194</t>
  </si>
  <si>
    <t>N_195</t>
  </si>
  <si>
    <t>N_196</t>
  </si>
  <si>
    <t>N_212</t>
  </si>
  <si>
    <t>N_213</t>
  </si>
  <si>
    <t>N_214</t>
  </si>
  <si>
    <t>N_215</t>
  </si>
  <si>
    <t>N_216</t>
  </si>
  <si>
    <t>N_217</t>
  </si>
  <si>
    <t>N_218</t>
  </si>
  <si>
    <t>N_219</t>
  </si>
  <si>
    <t>N_220</t>
  </si>
  <si>
    <t>N_221</t>
  </si>
  <si>
    <t>N_222</t>
  </si>
  <si>
    <t>N_223</t>
  </si>
  <si>
    <t>N_224</t>
  </si>
  <si>
    <t>N_225</t>
  </si>
  <si>
    <t>N_226</t>
  </si>
  <si>
    <t>N_239</t>
  </si>
  <si>
    <t>N_240</t>
  </si>
  <si>
    <t>N_241</t>
  </si>
  <si>
    <t>N_242</t>
  </si>
  <si>
    <t>N_243</t>
  </si>
  <si>
    <t>N_244</t>
  </si>
  <si>
    <t>N_246</t>
  </si>
  <si>
    <t>N_247</t>
  </si>
  <si>
    <t>N_248</t>
  </si>
  <si>
    <t>N_249</t>
  </si>
  <si>
    <t>N_250</t>
  </si>
  <si>
    <t>N_251</t>
  </si>
  <si>
    <t>L_006-063</t>
  </si>
  <si>
    <t>UC_AL_185_330</t>
  </si>
  <si>
    <t>C</t>
  </si>
  <si>
    <t>UC_AL_240_360</t>
  </si>
  <si>
    <t>UC_CU_120_280</t>
  </si>
  <si>
    <t>L_063-062</t>
  </si>
  <si>
    <t>L_062-064</t>
  </si>
  <si>
    <t>L_064-061</t>
  </si>
  <si>
    <t>UC_CU_150_320</t>
  </si>
  <si>
    <t>L_006-196</t>
  </si>
  <si>
    <t>UC_CU_120_360</t>
  </si>
  <si>
    <t>L_196-193</t>
  </si>
  <si>
    <t>UC_CU_160_340</t>
  </si>
  <si>
    <t>L_193-194</t>
  </si>
  <si>
    <t>L_194-188</t>
  </si>
  <si>
    <t>L_188-192</t>
  </si>
  <si>
    <t>L_192-191</t>
  </si>
  <si>
    <t>UC_CU_100_252</t>
  </si>
  <si>
    <t>L_191-190</t>
  </si>
  <si>
    <t>UC_AL_150_280</t>
  </si>
  <si>
    <t>L_190-195</t>
  </si>
  <si>
    <t>L_006-173</t>
  </si>
  <si>
    <t>UC_AL_120_260</t>
  </si>
  <si>
    <t>L_173-170</t>
  </si>
  <si>
    <t>L_006-047</t>
  </si>
  <si>
    <t>L_170-174</t>
  </si>
  <si>
    <t>L_174-172</t>
  </si>
  <si>
    <t>L_172-171</t>
  </si>
  <si>
    <t>L_006-157</t>
  </si>
  <si>
    <t>L_157-160</t>
  </si>
  <si>
    <t>L_160-159</t>
  </si>
  <si>
    <t>L_159-162</t>
  </si>
  <si>
    <t>L_162-164</t>
  </si>
  <si>
    <t>L_164-163</t>
  </si>
  <si>
    <t>UC_AL_150_240</t>
  </si>
  <si>
    <t>L_163-161</t>
  </si>
  <si>
    <t>L_159-158</t>
  </si>
  <si>
    <t>L_006-223</t>
  </si>
  <si>
    <t>L_223-215</t>
  </si>
  <si>
    <t>L_215-219</t>
  </si>
  <si>
    <t>L_219-213</t>
  </si>
  <si>
    <t>L_213-217</t>
  </si>
  <si>
    <t>L_217-212</t>
  </si>
  <si>
    <t>UC_AL_240_320</t>
  </si>
  <si>
    <t>L_212-222</t>
  </si>
  <si>
    <t>L_222-221</t>
  </si>
  <si>
    <t>L_221-224</t>
  </si>
  <si>
    <t>L_224-218</t>
  </si>
  <si>
    <t>L_218-226</t>
  </si>
  <si>
    <t>L_226-214</t>
  </si>
  <si>
    <t>UC_CU_95_245</t>
  </si>
  <si>
    <t>L_214-220</t>
  </si>
  <si>
    <t>L_220-216</t>
  </si>
  <si>
    <t>L_216-225</t>
  </si>
  <si>
    <t>L_006-071</t>
  </si>
  <si>
    <t>L_071-074</t>
  </si>
  <si>
    <t>L_071-072</t>
  </si>
  <si>
    <t>L_006-241</t>
  </si>
  <si>
    <t>L_241-240</t>
  </si>
  <si>
    <t>L_240-243</t>
  </si>
  <si>
    <t>L_243-242</t>
  </si>
  <si>
    <t>L_240-250</t>
  </si>
  <si>
    <t>L_250-249</t>
  </si>
  <si>
    <t>L_249-247</t>
  </si>
  <si>
    <t>L_247-239</t>
  </si>
  <si>
    <t>L_250-251</t>
  </si>
  <si>
    <t>L_251-246</t>
  </si>
  <si>
    <t>L_246-244</t>
  </si>
  <si>
    <t>L_244-248</t>
  </si>
  <si>
    <t>L_006-112</t>
  </si>
  <si>
    <t>L_112-113</t>
  </si>
  <si>
    <t>L_113-108</t>
  </si>
  <si>
    <t>L_108-109</t>
  </si>
  <si>
    <t>L_109-111</t>
  </si>
  <si>
    <t>L_111-110</t>
  </si>
  <si>
    <t>L_110-107</t>
  </si>
  <si>
    <t>L_006-136</t>
  </si>
  <si>
    <t>L_136-135</t>
  </si>
  <si>
    <t>L_135-138</t>
  </si>
  <si>
    <t>L_138-134</t>
  </si>
  <si>
    <t>L_134-137</t>
  </si>
  <si>
    <t>L_137-139</t>
  </si>
  <si>
    <t>L_139-133</t>
  </si>
  <si>
    <t>L_133-132</t>
  </si>
  <si>
    <t>L_132-131</t>
  </si>
  <si>
    <t>L_047-052</t>
  </si>
  <si>
    <t>L_052-046</t>
  </si>
  <si>
    <t>L_046-056</t>
  </si>
  <si>
    <t>L_056-044</t>
  </si>
  <si>
    <t>L_044-050</t>
  </si>
  <si>
    <t>L_050-049</t>
  </si>
  <si>
    <t>L_049-054</t>
  </si>
  <si>
    <t>L_054-048</t>
  </si>
  <si>
    <t>L_048-055</t>
  </si>
  <si>
    <t>L_055-045</t>
  </si>
  <si>
    <t>L_052-051</t>
  </si>
  <si>
    <t>L_006-091</t>
  </si>
  <si>
    <t>L_091-092</t>
  </si>
  <si>
    <t>L_092-087</t>
  </si>
  <si>
    <t>L_087-086</t>
  </si>
  <si>
    <t>L_086-090</t>
  </si>
  <si>
    <t>L_090-093</t>
  </si>
  <si>
    <t>L_093-088</t>
  </si>
  <si>
    <t>L_088-089</t>
  </si>
  <si>
    <t>L_089-085</t>
  </si>
  <si>
    <t>T_001</t>
  </si>
  <si>
    <t>Load_006_A</t>
  </si>
  <si>
    <t>U_UFF</t>
  </si>
  <si>
    <t>COM</t>
  </si>
  <si>
    <t>Load_044_A</t>
  </si>
  <si>
    <t>U_IND</t>
  </si>
  <si>
    <t>Load_045_A</t>
  </si>
  <si>
    <t>Load_046_A</t>
  </si>
  <si>
    <t>Load_047_A</t>
  </si>
  <si>
    <t>Load_048_A</t>
  </si>
  <si>
    <t>Load_049_A</t>
  </si>
  <si>
    <t>Load_050_A</t>
  </si>
  <si>
    <t>Load_051_A</t>
  </si>
  <si>
    <t>Load_052_A</t>
  </si>
  <si>
    <t>Load_054_A</t>
  </si>
  <si>
    <t>Load_055_A</t>
  </si>
  <si>
    <t>Load_056_A</t>
  </si>
  <si>
    <t>Load_061_A</t>
  </si>
  <si>
    <t>Load_062_A</t>
  </si>
  <si>
    <t>Load_063_A</t>
  </si>
  <si>
    <t>Load_064_A</t>
  </si>
  <si>
    <t>Load_071_A</t>
  </si>
  <si>
    <t>Load_072_A</t>
  </si>
  <si>
    <t>Load_074_A</t>
  </si>
  <si>
    <t>Load_086_A</t>
  </si>
  <si>
    <t>Load_087_A</t>
  </si>
  <si>
    <t>Load_088_A</t>
  </si>
  <si>
    <t>Load_089_A</t>
  </si>
  <si>
    <t>Load_090_A</t>
  </si>
  <si>
    <t>Load_091_A</t>
  </si>
  <si>
    <t>Load_092_A</t>
  </si>
  <si>
    <t>Load_093_A</t>
  </si>
  <si>
    <t>Load_107_A</t>
  </si>
  <si>
    <t>Load_108_A</t>
  </si>
  <si>
    <t>Load_109_A</t>
  </si>
  <si>
    <t>Load_110_A</t>
  </si>
  <si>
    <t>Load_111_A</t>
  </si>
  <si>
    <t>Load_112_A</t>
  </si>
  <si>
    <t>Load_113_A</t>
  </si>
  <si>
    <t>Load_131_A</t>
  </si>
  <si>
    <t>Load_132_A</t>
  </si>
  <si>
    <t>Load_133_A</t>
  </si>
  <si>
    <t>Load_134_A</t>
  </si>
  <si>
    <t>Load_135_A</t>
  </si>
  <si>
    <t>Load_136_A</t>
  </si>
  <si>
    <t>Load_137_A</t>
  </si>
  <si>
    <t>Load_138_A</t>
  </si>
  <si>
    <t>Load_139_A</t>
  </si>
  <si>
    <t>Load_157_A</t>
  </si>
  <si>
    <t>Load_158_A</t>
  </si>
  <si>
    <t>Load_159_A</t>
  </si>
  <si>
    <t>Load_160_A</t>
  </si>
  <si>
    <t>Load_161_A</t>
  </si>
  <si>
    <t>Load_162_A</t>
  </si>
  <si>
    <t>Load_163_A</t>
  </si>
  <si>
    <t>Load_164_A</t>
  </si>
  <si>
    <t>Load_170_A</t>
  </si>
  <si>
    <t>Load_171_A</t>
  </si>
  <si>
    <t>Load_172_A</t>
  </si>
  <si>
    <t>Load_173_A</t>
  </si>
  <si>
    <t>Load_174_A</t>
  </si>
  <si>
    <t>Load_188_A</t>
  </si>
  <si>
    <t>Load_190_A</t>
  </si>
  <si>
    <t>Load_191_A</t>
  </si>
  <si>
    <t>Load_192_A</t>
  </si>
  <si>
    <t>Load_193_A</t>
  </si>
  <si>
    <t>Load_194_A</t>
  </si>
  <si>
    <t>Load_195_A</t>
  </si>
  <si>
    <t>Load_196_A</t>
  </si>
  <si>
    <t>Load_212_A</t>
  </si>
  <si>
    <t>Load_213_A</t>
  </si>
  <si>
    <t>Load_214_A</t>
  </si>
  <si>
    <t>Load_215_A</t>
  </si>
  <si>
    <t>Load_216_A</t>
  </si>
  <si>
    <t>Load_217_A</t>
  </si>
  <si>
    <t>Load_218_A</t>
  </si>
  <si>
    <t>Load_219_A</t>
  </si>
  <si>
    <t>Load_220_A</t>
  </si>
  <si>
    <t>Load_221_A</t>
  </si>
  <si>
    <t>Load_222_A</t>
  </si>
  <si>
    <t>Load_223_A</t>
  </si>
  <si>
    <t>Load_224_A</t>
  </si>
  <si>
    <t>Load_225_A</t>
  </si>
  <si>
    <t>Load_226_A</t>
  </si>
  <si>
    <t>Load_240_A</t>
  </si>
  <si>
    <t>Load_241_A</t>
  </si>
  <si>
    <t>Load_242_A</t>
  </si>
  <si>
    <t>Load_243_A</t>
  </si>
  <si>
    <t>Load_244_A</t>
  </si>
  <si>
    <t>Load_246_A</t>
  </si>
  <si>
    <t>Load_247_A</t>
  </si>
  <si>
    <t>Load_248_A</t>
  </si>
  <si>
    <t>Load_249_A</t>
  </si>
  <si>
    <t>Load_250_A</t>
  </si>
  <si>
    <t>Load_251_A</t>
  </si>
  <si>
    <t>Node Graph ID</t>
  </si>
  <si>
    <t>X</t>
  </si>
  <si>
    <t>Y</t>
  </si>
  <si>
    <t>Pos_L</t>
  </si>
  <si>
    <t>From_L</t>
  </si>
  <si>
    <t>To_L</t>
  </si>
  <si>
    <t>Node ID</t>
  </si>
  <si>
    <t>Vn [kV]</t>
  </si>
  <si>
    <t>Node Type</t>
  </si>
  <si>
    <t>Line ID</t>
  </si>
  <si>
    <t>From</t>
  </si>
  <si>
    <t>To</t>
  </si>
  <si>
    <t>Line Type</t>
  </si>
  <si>
    <t>Length [km]</t>
  </si>
  <si>
    <t>N_Branches</t>
  </si>
  <si>
    <t>StateFrom</t>
  </si>
  <si>
    <t>StateTo</t>
  </si>
  <si>
    <t>Transf ID</t>
  </si>
  <si>
    <t>Transf Type</t>
  </si>
  <si>
    <t>HV Node</t>
  </si>
  <si>
    <t>LV Node</t>
  </si>
  <si>
    <t>Vrated1 [kV]</t>
  </si>
  <si>
    <t>Vrated2 [kV]</t>
  </si>
  <si>
    <t>Vrif [pu]</t>
  </si>
  <si>
    <t>Tap</t>
  </si>
  <si>
    <t>Load ID</t>
  </si>
  <si>
    <t>Node</t>
  </si>
  <si>
    <t>Pn [MW]</t>
  </si>
  <si>
    <t>Qn [Mvar]</t>
  </si>
  <si>
    <t>Fu</t>
  </si>
  <si>
    <t>Load Type</t>
  </si>
  <si>
    <t>Gen ID</t>
  </si>
  <si>
    <t>GR [ohm]</t>
  </si>
  <si>
    <t>Potenza Totale Generazione [MVA]:</t>
  </si>
  <si>
    <t>Potenza Reattiva Totale Carichi [Mvar]:</t>
  </si>
  <si>
    <t>Potenza Attiva Totale Carichi [MW]:</t>
  </si>
  <si>
    <t>Scenario di riferimento B</t>
  </si>
  <si>
    <t>Scenario di riferimento A</t>
  </si>
  <si>
    <t>C_LOSS</t>
  </si>
  <si>
    <t>Profilo costo energia</t>
  </si>
  <si>
    <t>Livelli di tensione [kV]:</t>
  </si>
  <si>
    <t>N° feeder:</t>
  </si>
  <si>
    <t>Descrizione:</t>
  </si>
  <si>
    <t>N° nodi:</t>
  </si>
  <si>
    <t>Foglio: Descrizione</t>
  </si>
  <si>
    <t>Acronimo</t>
  </si>
  <si>
    <t>Descrizione</t>
  </si>
  <si>
    <t>N° nodi</t>
  </si>
  <si>
    <t>Numero nodi della rete</t>
  </si>
  <si>
    <t>N° feeder</t>
  </si>
  <si>
    <t>Numero feeder della rete</t>
  </si>
  <si>
    <t>Livelli di tensione [kV]</t>
  </si>
  <si>
    <t>Tensione di esercizio della rete (primario/secondario)</t>
  </si>
  <si>
    <t>Profilo di costo dell’energia (conforme al profilo presente nella Libreria_Profili_Active_Management)</t>
  </si>
  <si>
    <t>Potenza attiva assorbita dai carichi nello scenario di riferimento (indicata in MW)</t>
  </si>
  <si>
    <t>Potenza reattiva scambiata dai carichi nello scenario di riferimento (indicata in MVAR)</t>
  </si>
  <si>
    <t>Potenza nominale dei generatori (statici e rotanti) nello scenario di riferimento (indicata in MVA)</t>
  </si>
  <si>
    <t>Foglio: Nodi</t>
  </si>
  <si>
    <t>Nome identificativo nodo</t>
  </si>
  <si>
    <t>Tipo di nodo (SL (slack)  ;    PQ   ;    PV)</t>
  </si>
  <si>
    <t>Tensione nominale</t>
  </si>
  <si>
    <t>Vmin [pu]</t>
  </si>
  <si>
    <t>Tensione minima ammissibile</t>
  </si>
  <si>
    <t>Vmax [pu]</t>
  </si>
  <si>
    <t>Tensione massima ammissibile</t>
  </si>
  <si>
    <t>Foglio: Linee</t>
  </si>
  <si>
    <t>Nome identificativo linea</t>
  </si>
  <si>
    <t>Nodo di partenza</t>
  </si>
  <si>
    <t>Nodo di arrivo</t>
  </si>
  <si>
    <t>Tipo di linea (conforme a quelli contenuti nella Libreria_Componenti)</t>
  </si>
  <si>
    <t>Lunghezza</t>
  </si>
  <si>
    <t>Numero di tronchi di cui è composta la linea</t>
  </si>
  <si>
    <t>Stato aperto/chiuso estremo di partenza</t>
  </si>
  <si>
    <t>Stato aperto/chiuso estremo di arrivo</t>
  </si>
  <si>
    <t>Foglio: Trasformatori</t>
  </si>
  <si>
    <t>Nome trasformatore</t>
  </si>
  <si>
    <t>Tipo di trasformatore (conforme a quelli contenuti nella Libreria_Componenti)</t>
  </si>
  <si>
    <t>Nodo di connessione lato AT</t>
  </si>
  <si>
    <t>Nodo connessione lato BT</t>
  </si>
  <si>
    <t>Tensione nominale nodo primario</t>
  </si>
  <si>
    <t>Tensione nominale nodo secondario</t>
  </si>
  <si>
    <t>Tensione di riferimento secondario per utilizzo del variatore sotto carico</t>
  </si>
  <si>
    <t xml:space="preserve">Posizione del variatore sotto carico </t>
  </si>
  <si>
    <t>Foglio: Carichi</t>
  </si>
  <si>
    <t>Nome carico</t>
  </si>
  <si>
    <t>Nodo di connessione</t>
  </si>
  <si>
    <t>Potenza attiva nominale</t>
  </si>
  <si>
    <t>Potenza reattiva nominale</t>
  </si>
  <si>
    <t>Fattore di utilizzazione</t>
  </si>
  <si>
    <t>Tipo di profilo associato (conforme a quelli presenti nella Libreria_Profili)</t>
  </si>
  <si>
    <t>Year</t>
  </si>
  <si>
    <t>Active Management</t>
  </si>
  <si>
    <t>Tipo di profilo associato  (definisce la partecipazione ad AM con profilo conforme a quelli presenti nella Libreria_Active_Management)</t>
  </si>
  <si>
    <t>Foglio: Generatori Rotanti</t>
  </si>
  <si>
    <t>Nome generatore</t>
  </si>
  <si>
    <t>Tipo di generatore (conforme a quelli contenuti nella Libreria_Componenti)</t>
  </si>
  <si>
    <t>Profile Type P</t>
  </si>
  <si>
    <t>Tipo di profilo associato alla potenza attiva P (conforme a quelli presenti nella Libreria_Profili)</t>
  </si>
  <si>
    <t>Profile Type Q</t>
  </si>
  <si>
    <t>Tipo di profilo associato alla potenza reattiva Q (conforme a quelli presenti nella Libreria_Profili)</t>
  </si>
  <si>
    <t>Impedenza di messa a terra</t>
  </si>
  <si>
    <t>AM_P_GC</t>
  </si>
  <si>
    <t>Tipo di profilo associato per il taglio (GC) della potenza attiva P (definisce la partecipazione ad AM con profilo conforme a quelli presenti nella Libreria_Active_Management)</t>
  </si>
  <si>
    <t>AM_P_dis</t>
  </si>
  <si>
    <t>Tipo di profilo associato per l'extra Dispatching della potenza attiva P (definisce la partecipazione ad AM con profilo conforme a quelli presenti nella Libreria_Active_Management)</t>
  </si>
  <si>
    <t>AM_Q</t>
  </si>
  <si>
    <t>Tipo di profilo associato per lo scambio di potenza reattiva Q (definisce la partecipazione ad AM con profilo conforme a quelli presenti nella Libreria_Active_Management)</t>
  </si>
  <si>
    <t>Foglio: Generatori Statici</t>
  </si>
  <si>
    <t>Foglio: Sistemi di Accumulo</t>
  </si>
  <si>
    <t>Es ID</t>
  </si>
  <si>
    <t>Nome Sistema di accumulo</t>
  </si>
  <si>
    <t>Carica minima [rel]</t>
  </si>
  <si>
    <t>Limite di scarica (valore relativo rispetto alla potenza nominale)</t>
  </si>
  <si>
    <t>Carica massima  [rel]</t>
  </si>
  <si>
    <t>Limite di carica (valore relativo rispetto alla potenza nominale)</t>
  </si>
  <si>
    <t>Es Type</t>
  </si>
  <si>
    <t>Profile Type E</t>
  </si>
  <si>
    <t>Tipo di profilo di energia E associato (conforme a quelli presenti nella Libreria_Profili)</t>
  </si>
  <si>
    <t>AM_PCh</t>
  </si>
  <si>
    <t>Tipo di profilo associato alla potenza attiva P in fase di carica (definisce la partecipazione ad AM con profilo conforme a quelli presenti nella Libreria_Active_Management)</t>
  </si>
  <si>
    <t>AM_Pdis</t>
  </si>
  <si>
    <t>Tipo di profilo associato alla potenza attiva P in fase di scarica (definisce la partecipazione ad AM con profilo conforme a quelli presenti nella Libreria_Active_Management)</t>
  </si>
  <si>
    <t>AD_response Type</t>
  </si>
  <si>
    <t>default</t>
  </si>
  <si>
    <t>NO_AM</t>
  </si>
  <si>
    <t>P_oper [MW]</t>
  </si>
  <si>
    <t>Q_oper [MVar]</t>
  </si>
  <si>
    <t>funzionamento</t>
  </si>
  <si>
    <t>Gen Type_rot</t>
  </si>
  <si>
    <t>Inverter Type</t>
  </si>
  <si>
    <t xml:space="preserve">local control </t>
  </si>
  <si>
    <t>Gen Type_stat</t>
  </si>
  <si>
    <t>Carica massima [rel]</t>
  </si>
  <si>
    <t>Inverter_Type</t>
  </si>
  <si>
    <t>150/15</t>
  </si>
  <si>
    <t>132/15_40_OLTC</t>
  </si>
  <si>
    <t>Load_039_A</t>
  </si>
  <si>
    <t>Load_082_A</t>
  </si>
  <si>
    <t>Load_150_A</t>
  </si>
  <si>
    <t>U_RES</t>
  </si>
  <si>
    <t>Tipo di risposta associata all'Active Demand</t>
  </si>
  <si>
    <t>Potenza attiva di funzionamento</t>
  </si>
  <si>
    <t>Potenza reattiva di funzionamento</t>
  </si>
  <si>
    <t>Modalità di funzionamento</t>
  </si>
  <si>
    <t>Tipo di inverter (conforme a quelli contenuti nella Libreria_Componenti)</t>
  </si>
  <si>
    <t>Presenza controllo locale</t>
  </si>
  <si>
    <t>Tipo di sitema di accumulo (conforme a quelli contenuti nella Libreria_Componenti)</t>
  </si>
  <si>
    <t>Glossario Rete di Riferimento: ATL_Rete_Urbana_AM_V1</t>
  </si>
  <si>
    <t>Anno di comparsa (default 0, relativo al primo anno indicato nella Libreria profili)</t>
  </si>
  <si>
    <t>Feeder</t>
  </si>
  <si>
    <t>F_2</t>
  </si>
  <si>
    <t>F_3</t>
  </si>
  <si>
    <t>F_1</t>
  </si>
  <si>
    <t>F_4</t>
  </si>
  <si>
    <t>F_5</t>
  </si>
  <si>
    <t>F_6</t>
  </si>
  <si>
    <t>F_7</t>
  </si>
  <si>
    <t>F_8</t>
  </si>
  <si>
    <t>F_9</t>
  </si>
  <si>
    <t>F_10</t>
  </si>
  <si>
    <t>F_11</t>
  </si>
  <si>
    <t>L_054-039</t>
  </si>
  <si>
    <t>L_093-082</t>
  </si>
  <si>
    <t>L_163-150</t>
  </si>
  <si>
    <t>Descrizione generale della rete: Urbana</t>
  </si>
  <si>
    <t>Busbar_Reliability_Type</t>
  </si>
  <si>
    <t>HV_Busb</t>
  </si>
  <si>
    <t>MV_Busb</t>
  </si>
  <si>
    <t>Joint_Reliability_Type</t>
  </si>
  <si>
    <t>MT_Joint_U</t>
  </si>
  <si>
    <t>PD_From</t>
  </si>
  <si>
    <t>PD_To</t>
  </si>
  <si>
    <t>Petersen [y/n]</t>
  </si>
  <si>
    <t>Rs_petersen [ohm]</t>
  </si>
  <si>
    <t>Rp_petersen [ohm]</t>
  </si>
  <si>
    <t>%_unbalance [%]</t>
  </si>
  <si>
    <t>Nonlinear_Profile</t>
  </si>
  <si>
    <t>15/0.4_0.16</t>
  </si>
  <si>
    <t>15/0.4_0.35</t>
  </si>
  <si>
    <t>15/0.22_0.05</t>
  </si>
  <si>
    <t>15/0.4_0.25</t>
  </si>
  <si>
    <t>15/0.4_0.4</t>
  </si>
  <si>
    <t>15/0.4_0.63</t>
  </si>
  <si>
    <t>15/15_0.4</t>
  </si>
  <si>
    <t>15/0.4_0.315</t>
  </si>
  <si>
    <t>15/0.4_0.2</t>
  </si>
  <si>
    <t>15/0.22_0.4</t>
  </si>
  <si>
    <t>15/0.22_0.25</t>
  </si>
  <si>
    <t>15/0.22_0.2</t>
  </si>
  <si>
    <t>15/0.22_0.315</t>
  </si>
  <si>
    <t>Ts [ore]</t>
  </si>
  <si>
    <t>Tt [ore]</t>
  </si>
  <si>
    <t>Numero Utenti</t>
  </si>
  <si>
    <t>Tempo medio  all'isolamento del nodo quando è guasto</t>
  </si>
  <si>
    <t>Tempo medio  a far alimentare il nodo da un sistema di generazione distribuita quando è presente un guasto nella rete</t>
  </si>
  <si>
    <t>Tempo medio all'isolamento della linea quando è guasta</t>
  </si>
  <si>
    <t>Tt  [ore]</t>
  </si>
  <si>
    <t>Tempo medio a far alimentare la linea da un sistema di generazione distribuita quando è presente un guasto nella rete</t>
  </si>
  <si>
    <t>PD_from</t>
  </si>
  <si>
    <t>PD_to</t>
  </si>
  <si>
    <t>Tempo medio all'isolamento del trasformatore quando è guasto</t>
  </si>
  <si>
    <t>Tempo medio a far alimentare il trasformatore da un sistema di generazione distribuita quando è presente un guasto nella rete</t>
  </si>
  <si>
    <t>Fattore di potenza del carico in bassa tensione prima di essere rifasato a cosphi=0,9</t>
  </si>
  <si>
    <t>Numero di utenti connessi al carico</t>
  </si>
  <si>
    <t>Indica la presenza o meno a monte della linea di un dispositivo di protezione</t>
  </si>
  <si>
    <t>Indica la presenza o meno a valle della linea di un dispositivo di protezione</t>
  </si>
  <si>
    <t>Tipo di sbarra (conforme a quelli contenuti nella Libreria_Componenti)</t>
  </si>
  <si>
    <t>Tipo di giunto (conforme a quelli contenuti nella Libreria_Componenti)</t>
  </si>
  <si>
    <t>Indica la presenza della bobina di Petersen</t>
  </si>
  <si>
    <t>Resistenza serie della bobina di Petersen</t>
  </si>
  <si>
    <t>Resistenza parallelo della bobina di Petersen</t>
  </si>
  <si>
    <t>Percentuale di sbilanciamento della parte induttiva della bobina di petersen rispetto al valore ottimo</t>
  </si>
  <si>
    <t>Tipo di trasformatore MT/bt a cui il carico è collegato</t>
  </si>
  <si>
    <t>Tacca di lavoro del variatore a vuoto del trasformatore MT/bt a cui il carico è collegato</t>
  </si>
  <si>
    <t>Tipo di profilo non lineare associato (conforme a quelli presenti nella Libreria_Profili)</t>
  </si>
  <si>
    <t>Cosphi_lv</t>
  </si>
  <si>
    <t>G_173</t>
  </si>
  <si>
    <t>G_063</t>
  </si>
  <si>
    <t>G_051</t>
  </si>
  <si>
    <t>G_107</t>
  </si>
  <si>
    <t>G_090</t>
  </si>
  <si>
    <t>G_160</t>
  </si>
  <si>
    <t>G_196</t>
  </si>
  <si>
    <t>G_248</t>
  </si>
  <si>
    <t>G_087</t>
  </si>
  <si>
    <t>PV</t>
  </si>
  <si>
    <t>Q_NULL</t>
  </si>
  <si>
    <t>GC</t>
  </si>
  <si>
    <t>Q_Gen</t>
  </si>
  <si>
    <t>G_110</t>
  </si>
  <si>
    <t>G_056</t>
  </si>
  <si>
    <t>G_050</t>
  </si>
  <si>
    <t>G_188</t>
  </si>
  <si>
    <t>G_132</t>
  </si>
  <si>
    <t>G_046</t>
  </si>
  <si>
    <t>G_112</t>
  </si>
  <si>
    <t>photovoltaic_0.4</t>
  </si>
  <si>
    <t>G_138</t>
  </si>
  <si>
    <t>G_224</t>
  </si>
  <si>
    <t>G_219</t>
  </si>
  <si>
    <t>G_139</t>
  </si>
  <si>
    <t>G_062</t>
  </si>
  <si>
    <t>G_158</t>
  </si>
  <si>
    <t>G_220</t>
  </si>
  <si>
    <t>G_190</t>
  </si>
  <si>
    <t>G_157</t>
  </si>
  <si>
    <t>G_218</t>
  </si>
  <si>
    <t>G_135</t>
  </si>
  <si>
    <t>G_133</t>
  </si>
  <si>
    <t>G_221</t>
  </si>
  <si>
    <t>G_049</t>
  </si>
  <si>
    <t>G_054</t>
  </si>
  <si>
    <t>G_113</t>
  </si>
  <si>
    <t>G_249</t>
  </si>
  <si>
    <t>G_071</t>
  </si>
  <si>
    <t>G_246</t>
  </si>
  <si>
    <t>G_242</t>
  </si>
  <si>
    <t>G_212</t>
  </si>
  <si>
    <t>G_244</t>
  </si>
  <si>
    <t>INV_2.5_15_halfcirc</t>
  </si>
  <si>
    <t>INV_0.5_15_halfcirc</t>
  </si>
  <si>
    <t>INV_1.2_15_halfcirc</t>
  </si>
  <si>
    <t>G_194</t>
  </si>
  <si>
    <t>G_159</t>
  </si>
  <si>
    <t>G_250</t>
  </si>
  <si>
    <t>G_044</t>
  </si>
  <si>
    <t>G_161</t>
  </si>
  <si>
    <t>G_226</t>
  </si>
  <si>
    <t>G_191</t>
  </si>
  <si>
    <t>G_064</t>
  </si>
  <si>
    <t>G_136</t>
  </si>
  <si>
    <t>G_061</t>
  </si>
  <si>
    <t>G_174</t>
  </si>
  <si>
    <t>G_111</t>
  </si>
  <si>
    <t>photovoltaic_2.0</t>
  </si>
  <si>
    <t>photovoltaic_1.0</t>
  </si>
  <si>
    <t>DOR/LAT</t>
  </si>
  <si>
    <t>L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</si>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</sst>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5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2" borderId="2" xfId="0" applyFill="1" applyBorder="1"/>
    <xf numFmtId="0" fontId="0" fillId="3" borderId="2" xfId="0" applyFill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1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11" fontId="7" fillId="0" borderId="3" xfId="0" applyNumberFormat="1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65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3" xfId="1" applyFont="1" applyBorder="1" applyAlignment="1">
      <alignment horizontal="center" vertical="center"/>
    </xf>
    <xf numFmtId="0" fontId="4" fillId="0" borderId="0" xfId="0" applyFont="1"/>
    <xf numFmtId="0" fontId="8" fillId="0" borderId="0" xfId="0" applyFont="1"/>
    <xf numFmtId="164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10" fillId="0" borderId="0" xfId="0" applyFont="1"/>
    <xf numFmtId="0" fontId="6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4" fillId="4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5" borderId="4" xfId="0" applyFont="1" applyFill="1" applyBorder="1"/>
    <xf numFmtId="0" fontId="4" fillId="5" borderId="6" xfId="0" applyFont="1" applyFill="1" applyBorder="1"/>
    <xf numFmtId="0" fontId="4" fillId="5" borderId="1" xfId="0" applyFont="1" applyFill="1" applyBorder="1"/>
    <xf numFmtId="0" fontId="4" fillId="5" borderId="1" xfId="0" applyFont="1" applyFill="1" applyBorder="1" applyAlignment="1">
      <alignment horizontal="left"/>
    </xf>
    <xf numFmtId="0" fontId="4" fillId="5" borderId="0" xfId="0" applyFont="1" applyFill="1"/>
    <xf numFmtId="0" fontId="4" fillId="5" borderId="7" xfId="0" applyFont="1" applyFill="1" applyBorder="1"/>
    <xf numFmtId="0" fontId="4" fillId="5" borderId="3" xfId="0" applyFont="1" applyFill="1" applyBorder="1" applyAlignment="1">
      <alignment horizontal="left"/>
    </xf>
    <xf numFmtId="0" fontId="4" fillId="5" borderId="3" xfId="0" applyFont="1" applyFill="1" applyBorder="1"/>
    <xf numFmtId="0" fontId="4" fillId="5" borderId="2" xfId="0" applyFont="1" applyFill="1" applyBorder="1"/>
    <xf numFmtId="0" fontId="4" fillId="6" borderId="4" xfId="0" applyFont="1" applyFill="1" applyBorder="1"/>
    <xf numFmtId="0" fontId="4" fillId="6" borderId="6" xfId="0" applyFont="1" applyFill="1" applyBorder="1"/>
    <xf numFmtId="0" fontId="4" fillId="6" borderId="1" xfId="0" applyFont="1" applyFill="1" applyBorder="1"/>
    <xf numFmtId="0" fontId="4" fillId="6" borderId="1" xfId="0" applyFont="1" applyFill="1" applyBorder="1" applyAlignment="1">
      <alignment horizontal="left"/>
    </xf>
    <xf numFmtId="0" fontId="4" fillId="6" borderId="0" xfId="0" applyFont="1" applyFill="1"/>
    <xf numFmtId="0" fontId="4" fillId="6" borderId="7" xfId="0" applyFont="1" applyFill="1" applyBorder="1"/>
    <xf numFmtId="0" fontId="4" fillId="6" borderId="3" xfId="0" applyFont="1" applyFill="1" applyBorder="1" applyAlignment="1">
      <alignment horizontal="left"/>
    </xf>
    <xf numFmtId="0" fontId="4" fillId="6" borderId="3" xfId="0" applyFont="1" applyFill="1" applyBorder="1"/>
    <xf numFmtId="0" fontId="4" fillId="6" borderId="2" xfId="0" applyFont="1" applyFill="1" applyBorder="1"/>
    <xf numFmtId="0" fontId="4" fillId="7" borderId="4" xfId="0" applyFont="1" applyFill="1" applyBorder="1"/>
    <xf numFmtId="0" fontId="4" fillId="7" borderId="6" xfId="0" applyFont="1" applyFill="1" applyBorder="1"/>
    <xf numFmtId="0" fontId="4" fillId="7" borderId="1" xfId="0" applyFont="1" applyFill="1" applyBorder="1"/>
    <xf numFmtId="0" fontId="4" fillId="7" borderId="1" xfId="0" applyFont="1" applyFill="1" applyBorder="1" applyAlignment="1">
      <alignment horizontal="left"/>
    </xf>
    <xf numFmtId="0" fontId="4" fillId="7" borderId="0" xfId="0" applyFont="1" applyFill="1"/>
    <xf numFmtId="0" fontId="4" fillId="7" borderId="7" xfId="0" applyFont="1" applyFill="1" applyBorder="1"/>
    <xf numFmtId="0" fontId="4" fillId="7" borderId="3" xfId="0" applyFont="1" applyFill="1" applyBorder="1" applyAlignment="1">
      <alignment horizontal="left"/>
    </xf>
    <xf numFmtId="0" fontId="4" fillId="7" borderId="3" xfId="0" applyFont="1" applyFill="1" applyBorder="1"/>
    <xf numFmtId="0" fontId="4" fillId="7" borderId="2" xfId="0" applyFont="1" applyFill="1" applyBorder="1"/>
    <xf numFmtId="0" fontId="4" fillId="8" borderId="4" xfId="0" applyFont="1" applyFill="1" applyBorder="1"/>
    <xf numFmtId="0" fontId="4" fillId="8" borderId="6" xfId="0" applyFont="1" applyFill="1" applyBorder="1"/>
    <xf numFmtId="0" fontId="4" fillId="8" borderId="1" xfId="0" applyFont="1" applyFill="1" applyBorder="1"/>
    <xf numFmtId="0" fontId="4" fillId="8" borderId="1" xfId="0" applyFont="1" applyFill="1" applyBorder="1" applyAlignment="1">
      <alignment horizontal="left"/>
    </xf>
    <xf numFmtId="0" fontId="4" fillId="8" borderId="0" xfId="0" applyFont="1" applyFill="1"/>
    <xf numFmtId="0" fontId="4" fillId="8" borderId="7" xfId="0" applyFont="1" applyFill="1" applyBorder="1"/>
    <xf numFmtId="0" fontId="4" fillId="8" borderId="3" xfId="0" applyFont="1" applyFill="1" applyBorder="1" applyAlignment="1">
      <alignment horizontal="left"/>
    </xf>
    <xf numFmtId="0" fontId="4" fillId="8" borderId="3" xfId="0" applyFont="1" applyFill="1" applyBorder="1"/>
    <xf numFmtId="0" fontId="4" fillId="8" borderId="2" xfId="0" applyFont="1" applyFill="1" applyBorder="1"/>
    <xf numFmtId="0" fontId="7" fillId="9" borderId="5" xfId="0" applyFont="1" applyFill="1" applyBorder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4" fillId="9" borderId="4" xfId="0" applyFont="1" applyFill="1" applyBorder="1"/>
    <xf numFmtId="0" fontId="4" fillId="9" borderId="6" xfId="0" applyFont="1" applyFill="1" applyBorder="1"/>
    <xf numFmtId="0" fontId="4" fillId="9" borderId="1" xfId="0" applyFont="1" applyFill="1" applyBorder="1"/>
    <xf numFmtId="0" fontId="4" fillId="9" borderId="1" xfId="0" applyFont="1" applyFill="1" applyBorder="1" applyAlignment="1">
      <alignment horizontal="left"/>
    </xf>
    <xf numFmtId="0" fontId="4" fillId="9" borderId="0" xfId="0" applyFont="1" applyFill="1"/>
    <xf numFmtId="0" fontId="7" fillId="0" borderId="0" xfId="0" applyFont="1" applyAlignment="1">
      <alignment horizontal="center" vertical="center"/>
    </xf>
    <xf numFmtId="0" fontId="4" fillId="9" borderId="7" xfId="0" applyFont="1" applyFill="1" applyBorder="1"/>
    <xf numFmtId="0" fontId="4" fillId="9" borderId="3" xfId="0" applyFont="1" applyFill="1" applyBorder="1" applyAlignment="1">
      <alignment horizontal="left"/>
    </xf>
    <xf numFmtId="0" fontId="4" fillId="9" borderId="3" xfId="0" applyFont="1" applyFill="1" applyBorder="1"/>
    <xf numFmtId="0" fontId="4" fillId="9" borderId="2" xfId="0" applyFont="1" applyFill="1" applyBorder="1"/>
    <xf numFmtId="0" fontId="7" fillId="10" borderId="5" xfId="0" applyFont="1" applyFill="1" applyBorder="1" applyAlignment="1">
      <alignment horizontal="center"/>
    </xf>
    <xf numFmtId="0" fontId="7" fillId="10" borderId="8" xfId="0" applyFont="1" applyFill="1" applyBorder="1" applyAlignment="1">
      <alignment horizontal="center"/>
    </xf>
    <xf numFmtId="0" fontId="4" fillId="10" borderId="4" xfId="0" applyFont="1" applyFill="1" applyBorder="1"/>
    <xf numFmtId="0" fontId="4" fillId="10" borderId="6" xfId="0" applyFont="1" applyFill="1" applyBorder="1"/>
    <xf numFmtId="0" fontId="4" fillId="10" borderId="1" xfId="0" applyFont="1" applyFill="1" applyBorder="1"/>
    <xf numFmtId="0" fontId="4" fillId="10" borderId="1" xfId="0" applyFont="1" applyFill="1" applyBorder="1" applyAlignment="1">
      <alignment horizontal="left"/>
    </xf>
    <xf numFmtId="0" fontId="4" fillId="10" borderId="0" xfId="0" applyFont="1" applyFill="1"/>
    <xf numFmtId="0" fontId="4" fillId="10" borderId="7" xfId="0" applyFont="1" applyFill="1" applyBorder="1"/>
    <xf numFmtId="0" fontId="4" fillId="10" borderId="3" xfId="0" applyFont="1" applyFill="1" applyBorder="1"/>
    <xf numFmtId="0" fontId="4" fillId="10" borderId="2" xfId="0" applyFont="1" applyFill="1" applyBorder="1"/>
    <xf numFmtId="0" fontId="7" fillId="11" borderId="5" xfId="0" applyFont="1" applyFill="1" applyBorder="1" applyAlignment="1">
      <alignment horizontal="center"/>
    </xf>
    <xf numFmtId="0" fontId="7" fillId="11" borderId="8" xfId="0" applyFont="1" applyFill="1" applyBorder="1" applyAlignment="1">
      <alignment horizontal="center"/>
    </xf>
    <xf numFmtId="0" fontId="4" fillId="11" borderId="4" xfId="0" applyFont="1" applyFill="1" applyBorder="1"/>
    <xf numFmtId="0" fontId="4" fillId="11" borderId="6" xfId="0" applyFont="1" applyFill="1" applyBorder="1"/>
    <xf numFmtId="0" fontId="4" fillId="11" borderId="1" xfId="0" applyFont="1" applyFill="1" applyBorder="1"/>
    <xf numFmtId="0" fontId="4" fillId="11" borderId="1" xfId="0" applyFont="1" applyFill="1" applyBorder="1" applyAlignment="1">
      <alignment horizontal="left"/>
    </xf>
    <xf numFmtId="0" fontId="4" fillId="11" borderId="0" xfId="0" applyFont="1" applyFill="1"/>
    <xf numFmtId="0" fontId="6" fillId="0" borderId="0" xfId="0" applyFont="1" applyAlignment="1">
      <alignment horizontal="left" vertical="center"/>
    </xf>
    <xf numFmtId="0" fontId="10" fillId="0" borderId="6" xfId="0" applyFont="1" applyBorder="1"/>
    <xf numFmtId="0" fontId="4" fillId="11" borderId="7" xfId="0" applyFont="1" applyFill="1" applyBorder="1"/>
    <xf numFmtId="0" fontId="4" fillId="11" borderId="3" xfId="0" applyFont="1" applyFill="1" applyBorder="1" applyAlignment="1">
      <alignment horizontal="left"/>
    </xf>
    <xf numFmtId="0" fontId="4" fillId="11" borderId="3" xfId="0" applyFont="1" applyFill="1" applyBorder="1"/>
    <xf numFmtId="0" fontId="4" fillId="11" borderId="2" xfId="0" applyFont="1" applyFill="1" applyBorder="1"/>
    <xf numFmtId="0" fontId="0" fillId="5" borderId="6" xfId="0" applyFill="1" applyBorder="1"/>
    <xf numFmtId="0" fontId="11" fillId="0" borderId="0" xfId="0" applyFont="1" applyAlignment="1">
      <alignment vertical="center"/>
    </xf>
    <xf numFmtId="0" fontId="12" fillId="0" borderId="6" xfId="0" applyFont="1" applyBorder="1"/>
    <xf numFmtId="0" fontId="0" fillId="5" borderId="1" xfId="0" applyFill="1" applyBorder="1"/>
    <xf numFmtId="0" fontId="11" fillId="0" borderId="0" xfId="0" applyFont="1" applyAlignment="1">
      <alignment horizontal="left" vertical="center"/>
    </xf>
    <xf numFmtId="0" fontId="0" fillId="6" borderId="6" xfId="0" applyFill="1" applyBorder="1"/>
    <xf numFmtId="0" fontId="13" fillId="0" borderId="0" xfId="0" applyFont="1"/>
    <xf numFmtId="0" fontId="0" fillId="6" borderId="1" xfId="0" applyFill="1" applyBorder="1"/>
    <xf numFmtId="0" fontId="0" fillId="7" borderId="6" xfId="0" applyFill="1" applyBorder="1"/>
    <xf numFmtId="0" fontId="0" fillId="7" borderId="1" xfId="0" applyFill="1" applyBorder="1"/>
    <xf numFmtId="0" fontId="0" fillId="8" borderId="6" xfId="0" applyFill="1" applyBorder="1"/>
    <xf numFmtId="0" fontId="12" fillId="0" borderId="0" xfId="0" applyFont="1"/>
    <xf numFmtId="0" fontId="0" fillId="8" borderId="1" xfId="0" applyFill="1" applyBorder="1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0" fillId="0" borderId="0" xfId="0" applyNumberFormat="1"/>
    <xf numFmtId="0" fontId="14" fillId="0" borderId="3" xfId="0" applyFont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7" fillId="8" borderId="5" xfId="0" applyFont="1" applyFill="1" applyBorder="1" applyAlignment="1">
      <alignment horizontal="center"/>
    </xf>
    <xf numFmtId="0" fontId="7" fillId="8" borderId="8" xfId="0" applyFont="1" applyFill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0" fontId="7" fillId="7" borderId="5" xfId="0" applyFont="1" applyFill="1" applyBorder="1" applyAlignment="1">
      <alignment horizontal="center"/>
    </xf>
    <xf numFmtId="0" fontId="7" fillId="7" borderId="8" xfId="0" applyFont="1" applyFill="1" applyBorder="1" applyAlignment="1">
      <alignment horizontal="center"/>
    </xf>
  </cellXfs>
  <cellStyles count="2">
    <cellStyle name="Normale" xfId="0" builtinId="0"/>
    <cellStyle name="Normale 2" xfId="1" xr:uid="{9436149E-B7AC-43DA-935A-BB10A8C96CE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434340</xdr:colOff>
      <xdr:row>1</xdr:row>
      <xdr:rowOff>133350</xdr:rowOff>
    </xdr:from>
    <xdr:to>
      <xdr:col>15</xdr:col>
      <xdr:colOff>251516</xdr:colOff>
      <xdr:row>8</xdr:row>
      <xdr:rowOff>130286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4107236-9F9C-D737-06B3-6DF89BCB4211}"/>
            </a:ext>
          </a:extLst>
        </xdr:cNvPr>
        <xdr:cNvSpPr txBox="1"/>
      </xdr:nvSpPr>
      <xdr:spPr>
        <a:xfrm>
          <a:off x="5425440" y="371475"/>
          <a:ext cx="4023364" cy="12973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100"/>
            </a:lnSpc>
          </a:pPr>
          <a:r>
            <a:rPr lang="it-IT" sz="1100"/>
            <a:t>Commenti:</a:t>
          </a:r>
        </a:p>
        <a:p>
          <a:pPr>
            <a:lnSpc>
              <a:spcPts val="1100"/>
            </a:lnSpc>
          </a:pPr>
          <a:endParaRPr lang="it-IT" sz="1100" baseline="0"/>
        </a:p>
        <a:p>
          <a:pPr>
            <a:lnSpc>
              <a:spcPts val="1100"/>
            </a:lnSpc>
          </a:pPr>
          <a:r>
            <a:rPr lang="it-IT" sz="1100" baseline="0">
              <a:solidFill>
                <a:srgbClr val="FF0000"/>
              </a:solidFill>
            </a:rPr>
            <a:t>La rete equivalente esterna potrebbe essere considerata come un generatore.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9B691-FA62-4E53-9E8C-37A6E8D6B25F}">
  <dimension ref="A1:L332"/>
  <sheetViews>
    <sheetView zoomScaleNormal="100" workbookViewId="0">
      <selection sqref="A1:L1"/>
    </sheetView>
  </sheetViews>
  <sheetFormatPr defaultColWidth="8.77734375" defaultRowHeight="14.4" x14ac:dyDescent="0.3"/>
  <cols>
    <col min="1" max="1" width="14.44140625" customWidth="1"/>
    <col min="2" max="2" width="4.44140625" customWidth="1"/>
    <col min="3" max="3" width="26.44140625" style="2" customWidth="1"/>
    <col min="4" max="4" width="17.77734375" style="1" customWidth="1"/>
    <col min="5" max="5" width="10.44140625" customWidth="1"/>
    <col min="6" max="6" width="4.77734375" customWidth="1"/>
    <col min="7" max="7" width="26.109375" customWidth="1"/>
    <col min="8" max="8" width="14.44140625" customWidth="1"/>
    <col min="9" max="9" width="9.44140625" customWidth="1"/>
  </cols>
  <sheetData>
    <row r="1" spans="1:12" ht="51.75" customHeight="1" x14ac:dyDescent="0.3">
      <c r="A1" s="141" t="s">
        <v>463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</row>
    <row r="2" spans="1:12" ht="16.5" customHeight="1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x14ac:dyDescent="0.3">
      <c r="A3" s="3"/>
    </row>
    <row r="4" spans="1:12" x14ac:dyDescent="0.3">
      <c r="A4" s="3"/>
      <c r="C4" s="6" t="s">
        <v>342</v>
      </c>
      <c r="D4" s="1">
        <f>COUNTA(Nodi!A2:A98)</f>
        <v>97</v>
      </c>
      <c r="G4" s="145" t="s">
        <v>341</v>
      </c>
      <c r="H4" s="145"/>
    </row>
    <row r="5" spans="1:12" x14ac:dyDescent="0.3">
      <c r="A5" s="3"/>
      <c r="C5" s="6" t="s">
        <v>340</v>
      </c>
      <c r="D5" s="1">
        <v>11</v>
      </c>
      <c r="G5" s="145"/>
      <c r="H5" s="145"/>
    </row>
    <row r="6" spans="1:12" x14ac:dyDescent="0.3">
      <c r="A6" s="3"/>
      <c r="C6" s="6" t="s">
        <v>339</v>
      </c>
      <c r="D6" s="1" t="s">
        <v>433</v>
      </c>
      <c r="G6" s="145"/>
      <c r="H6" s="145"/>
    </row>
    <row r="7" spans="1:12" x14ac:dyDescent="0.3">
      <c r="A7" s="3"/>
      <c r="C7" s="16" t="s">
        <v>338</v>
      </c>
      <c r="D7" s="15" t="s">
        <v>337</v>
      </c>
      <c r="G7" s="145"/>
      <c r="H7" s="145"/>
    </row>
    <row r="8" spans="1:12" x14ac:dyDescent="0.3">
      <c r="A8" s="3"/>
      <c r="C8" s="6"/>
    </row>
    <row r="9" spans="1:12" x14ac:dyDescent="0.3">
      <c r="A9" s="3"/>
      <c r="C9" s="6"/>
    </row>
    <row r="10" spans="1:12" x14ac:dyDescent="0.3">
      <c r="A10" s="3"/>
      <c r="C10" s="6"/>
    </row>
    <row r="11" spans="1:12" x14ac:dyDescent="0.3">
      <c r="A11" s="3"/>
      <c r="C11" s="6"/>
    </row>
    <row r="12" spans="1:12" ht="30" customHeight="1" x14ac:dyDescent="0.3">
      <c r="A12" s="3"/>
      <c r="B12" s="14"/>
      <c r="C12" s="142" t="s">
        <v>336</v>
      </c>
      <c r="D12" s="142"/>
      <c r="F12" s="13"/>
      <c r="G12" s="144" t="s">
        <v>335</v>
      </c>
      <c r="H12" s="144"/>
    </row>
    <row r="13" spans="1:12" ht="45.75" customHeight="1" x14ac:dyDescent="0.3">
      <c r="A13" s="3"/>
      <c r="B13" s="10"/>
      <c r="C13" s="6" t="s">
        <v>334</v>
      </c>
      <c r="D13" s="12">
        <f>SUM(Carichi_A!C:C)</f>
        <v>25.570999999999948</v>
      </c>
      <c r="F13" s="9"/>
      <c r="G13" s="6" t="s">
        <v>334</v>
      </c>
      <c r="H13" s="12"/>
    </row>
    <row r="14" spans="1:12" ht="45.75" customHeight="1" x14ac:dyDescent="0.3">
      <c r="A14" s="3"/>
      <c r="B14" s="10"/>
      <c r="C14" s="6" t="s">
        <v>333</v>
      </c>
      <c r="D14" s="11">
        <f>SUM(Carichi_A!D:D)</f>
        <v>12.384000000000007</v>
      </c>
      <c r="F14" s="9"/>
      <c r="G14" s="6" t="s">
        <v>333</v>
      </c>
      <c r="H14" s="11"/>
    </row>
    <row r="15" spans="1:12" ht="45.75" customHeight="1" x14ac:dyDescent="0.3">
      <c r="A15" s="3"/>
      <c r="B15" s="10"/>
      <c r="C15" s="6" t="s">
        <v>332</v>
      </c>
      <c r="D15" s="1">
        <f>SUM('Generatori Rotanti_A'!C:C)+SUM('Generatori Statici_A'!C:C)</f>
        <v>111.00000000000006</v>
      </c>
      <c r="F15" s="9"/>
      <c r="G15" s="6" t="s">
        <v>332</v>
      </c>
      <c r="H15" s="1"/>
    </row>
    <row r="16" spans="1:12" x14ac:dyDescent="0.3">
      <c r="A16" s="3"/>
      <c r="C16" s="6"/>
    </row>
    <row r="17" spans="1:7" ht="29.25" customHeight="1" x14ac:dyDescent="0.3">
      <c r="A17" s="3"/>
      <c r="C17" s="143"/>
      <c r="D17" s="143"/>
    </row>
    <row r="18" spans="1:7" ht="18" x14ac:dyDescent="0.35">
      <c r="A18" s="3"/>
      <c r="C18" s="8"/>
      <c r="D18" s="7"/>
      <c r="G18" s="6"/>
    </row>
    <row r="19" spans="1:7" x14ac:dyDescent="0.3">
      <c r="A19" s="3"/>
      <c r="C19" s="5"/>
      <c r="D19" s="3"/>
      <c r="G19" s="5"/>
    </row>
    <row r="20" spans="1:7" x14ac:dyDescent="0.3">
      <c r="A20" s="3"/>
      <c r="C20" s="5"/>
      <c r="D20" s="3"/>
    </row>
    <row r="21" spans="1:7" x14ac:dyDescent="0.3">
      <c r="A21" s="3"/>
      <c r="C21" s="5"/>
      <c r="D21" s="3"/>
      <c r="G21" s="5"/>
    </row>
    <row r="22" spans="1:7" x14ac:dyDescent="0.3">
      <c r="A22" s="3"/>
      <c r="D22" s="3"/>
    </row>
    <row r="23" spans="1:7" x14ac:dyDescent="0.3">
      <c r="A23" s="3"/>
      <c r="D23" s="3"/>
    </row>
    <row r="24" spans="1:7" x14ac:dyDescent="0.3">
      <c r="A24" s="3"/>
      <c r="D24" s="3"/>
    </row>
    <row r="25" spans="1:7" x14ac:dyDescent="0.3">
      <c r="A25" s="3"/>
      <c r="D25" s="3"/>
    </row>
    <row r="26" spans="1:7" x14ac:dyDescent="0.3">
      <c r="A26" s="3"/>
      <c r="D26" s="3"/>
    </row>
    <row r="27" spans="1:7" x14ac:dyDescent="0.3">
      <c r="A27" s="3"/>
      <c r="D27" s="3"/>
    </row>
    <row r="28" spans="1:7" x14ac:dyDescent="0.3">
      <c r="A28" s="3"/>
      <c r="D28" s="3"/>
    </row>
    <row r="29" spans="1:7" x14ac:dyDescent="0.3">
      <c r="A29" s="3"/>
      <c r="D29" s="3"/>
    </row>
    <row r="30" spans="1:7" x14ac:dyDescent="0.3">
      <c r="A30" s="3"/>
      <c r="D30" s="3"/>
    </row>
    <row r="31" spans="1:7" x14ac:dyDescent="0.3">
      <c r="A31" s="3"/>
      <c r="D31" s="3"/>
    </row>
    <row r="32" spans="1:7" x14ac:dyDescent="0.3">
      <c r="A32" s="3"/>
      <c r="D32" s="3"/>
    </row>
    <row r="33" spans="1:4" x14ac:dyDescent="0.3">
      <c r="A33" s="3"/>
      <c r="D33" s="3"/>
    </row>
    <row r="34" spans="1:4" x14ac:dyDescent="0.3">
      <c r="A34" s="3"/>
      <c r="C34" s="4"/>
      <c r="D34" s="3"/>
    </row>
    <row r="35" spans="1:4" x14ac:dyDescent="0.3">
      <c r="A35" s="3"/>
      <c r="C35" s="4"/>
      <c r="D35" s="3"/>
    </row>
    <row r="36" spans="1:4" x14ac:dyDescent="0.3">
      <c r="A36" s="3"/>
      <c r="C36" s="4"/>
      <c r="D36" s="3"/>
    </row>
    <row r="37" spans="1:4" x14ac:dyDescent="0.3">
      <c r="A37" s="3"/>
      <c r="C37" s="4"/>
      <c r="D37" s="3"/>
    </row>
    <row r="38" spans="1:4" x14ac:dyDescent="0.3">
      <c r="A38" s="3"/>
      <c r="C38" s="4"/>
      <c r="D38" s="3"/>
    </row>
    <row r="39" spans="1:4" x14ac:dyDescent="0.3">
      <c r="A39" s="3"/>
      <c r="C39" s="4"/>
      <c r="D39" s="3"/>
    </row>
    <row r="40" spans="1:4" x14ac:dyDescent="0.3">
      <c r="A40" s="3"/>
      <c r="C40" s="4"/>
      <c r="D40" s="3"/>
    </row>
    <row r="41" spans="1:4" x14ac:dyDescent="0.3">
      <c r="A41" s="3"/>
      <c r="C41" s="4"/>
      <c r="D41" s="3"/>
    </row>
    <row r="42" spans="1:4" x14ac:dyDescent="0.3">
      <c r="A42" s="3"/>
      <c r="C42" s="4"/>
      <c r="D42" s="3"/>
    </row>
    <row r="43" spans="1:4" x14ac:dyDescent="0.3">
      <c r="A43" s="3"/>
      <c r="C43" s="4"/>
      <c r="D43" s="3"/>
    </row>
    <row r="44" spans="1:4" x14ac:dyDescent="0.3">
      <c r="A44" s="3"/>
      <c r="C44" s="4"/>
      <c r="D44" s="3"/>
    </row>
    <row r="45" spans="1:4" x14ac:dyDescent="0.3">
      <c r="A45" s="3"/>
      <c r="C45" s="4"/>
      <c r="D45" s="3"/>
    </row>
    <row r="46" spans="1:4" x14ac:dyDescent="0.3">
      <c r="A46" s="3"/>
      <c r="C46" s="4"/>
      <c r="D46" s="3"/>
    </row>
    <row r="47" spans="1:4" x14ac:dyDescent="0.3">
      <c r="A47" s="3"/>
      <c r="C47" s="4"/>
      <c r="D47" s="3"/>
    </row>
    <row r="48" spans="1:4" x14ac:dyDescent="0.3">
      <c r="A48" s="3"/>
      <c r="C48" s="4"/>
      <c r="D48" s="3"/>
    </row>
    <row r="49" spans="1:4" x14ac:dyDescent="0.3">
      <c r="A49" s="3"/>
      <c r="C49" s="4"/>
      <c r="D49" s="3"/>
    </row>
    <row r="50" spans="1:4" x14ac:dyDescent="0.3">
      <c r="A50" s="3"/>
      <c r="C50" s="4"/>
      <c r="D50" s="3"/>
    </row>
    <row r="51" spans="1:4" x14ac:dyDescent="0.3">
      <c r="A51" s="3"/>
      <c r="C51" s="4"/>
      <c r="D51" s="3"/>
    </row>
    <row r="52" spans="1:4" x14ac:dyDescent="0.3">
      <c r="A52" s="3"/>
      <c r="C52" s="4"/>
      <c r="D52" s="3"/>
    </row>
    <row r="53" spans="1:4" x14ac:dyDescent="0.3">
      <c r="A53" s="3"/>
      <c r="C53" s="4"/>
      <c r="D53" s="3"/>
    </row>
    <row r="54" spans="1:4" x14ac:dyDescent="0.3">
      <c r="A54" s="3"/>
      <c r="C54" s="4"/>
      <c r="D54" s="3"/>
    </row>
    <row r="55" spans="1:4" x14ac:dyDescent="0.3">
      <c r="A55" s="3"/>
      <c r="C55" s="4"/>
      <c r="D55" s="3"/>
    </row>
    <row r="56" spans="1:4" x14ac:dyDescent="0.3">
      <c r="A56" s="3"/>
      <c r="C56" s="4"/>
      <c r="D56" s="3"/>
    </row>
    <row r="57" spans="1:4" x14ac:dyDescent="0.3">
      <c r="A57" s="3"/>
      <c r="C57" s="4"/>
      <c r="D57" s="3"/>
    </row>
    <row r="58" spans="1:4" x14ac:dyDescent="0.3">
      <c r="A58" s="3"/>
      <c r="C58" s="4"/>
      <c r="D58" s="3"/>
    </row>
    <row r="59" spans="1:4" x14ac:dyDescent="0.3">
      <c r="A59" s="3"/>
      <c r="C59" s="4"/>
      <c r="D59" s="3"/>
    </row>
    <row r="60" spans="1:4" x14ac:dyDescent="0.3">
      <c r="A60" s="3"/>
      <c r="C60" s="4"/>
      <c r="D60" s="3"/>
    </row>
    <row r="61" spans="1:4" x14ac:dyDescent="0.3">
      <c r="A61" s="3"/>
      <c r="C61" s="4"/>
      <c r="D61" s="3"/>
    </row>
    <row r="62" spans="1:4" x14ac:dyDescent="0.3">
      <c r="A62" s="3"/>
      <c r="C62" s="4"/>
      <c r="D62" s="3"/>
    </row>
    <row r="63" spans="1:4" x14ac:dyDescent="0.3">
      <c r="A63" s="3"/>
      <c r="C63" s="4"/>
      <c r="D63" s="3"/>
    </row>
    <row r="64" spans="1:4" x14ac:dyDescent="0.3">
      <c r="A64" s="3"/>
      <c r="C64" s="4"/>
      <c r="D64" s="3"/>
    </row>
    <row r="65" spans="1:4" x14ac:dyDescent="0.3">
      <c r="A65" s="3"/>
      <c r="C65" s="4"/>
      <c r="D65" s="3"/>
    </row>
    <row r="66" spans="1:4" x14ac:dyDescent="0.3">
      <c r="A66" s="3"/>
      <c r="C66" s="4"/>
      <c r="D66" s="3"/>
    </row>
    <row r="67" spans="1:4" x14ac:dyDescent="0.3">
      <c r="A67" s="3"/>
      <c r="C67" s="4"/>
      <c r="D67" s="3"/>
    </row>
    <row r="68" spans="1:4" x14ac:dyDescent="0.3">
      <c r="A68" s="3"/>
      <c r="C68" s="4"/>
      <c r="D68" s="3"/>
    </row>
    <row r="69" spans="1:4" x14ac:dyDescent="0.3">
      <c r="A69" s="3"/>
      <c r="C69" s="4"/>
      <c r="D69" s="3"/>
    </row>
    <row r="70" spans="1:4" x14ac:dyDescent="0.3">
      <c r="A70" s="3"/>
      <c r="C70" s="4"/>
      <c r="D70" s="3"/>
    </row>
    <row r="71" spans="1:4" x14ac:dyDescent="0.3">
      <c r="A71" s="3"/>
      <c r="C71" s="4"/>
      <c r="D71" s="3"/>
    </row>
    <row r="72" spans="1:4" x14ac:dyDescent="0.3">
      <c r="A72" s="3"/>
      <c r="C72" s="4"/>
      <c r="D72" s="3"/>
    </row>
    <row r="73" spans="1:4" x14ac:dyDescent="0.3">
      <c r="A73" s="3"/>
      <c r="C73" s="4"/>
      <c r="D73" s="3"/>
    </row>
    <row r="74" spans="1:4" x14ac:dyDescent="0.3">
      <c r="A74" s="3"/>
      <c r="C74" s="4"/>
      <c r="D74" s="3"/>
    </row>
    <row r="75" spans="1:4" x14ac:dyDescent="0.3">
      <c r="A75" s="3"/>
      <c r="C75" s="4"/>
      <c r="D75" s="3"/>
    </row>
    <row r="76" spans="1:4" x14ac:dyDescent="0.3">
      <c r="A76" s="3"/>
      <c r="C76" s="4"/>
      <c r="D76" s="3"/>
    </row>
    <row r="77" spans="1:4" x14ac:dyDescent="0.3">
      <c r="A77" s="3"/>
      <c r="C77" s="4"/>
      <c r="D77" s="3"/>
    </row>
    <row r="78" spans="1:4" x14ac:dyDescent="0.3">
      <c r="A78" s="3"/>
      <c r="C78" s="4"/>
      <c r="D78" s="3"/>
    </row>
    <row r="79" spans="1:4" x14ac:dyDescent="0.3">
      <c r="A79" s="3"/>
      <c r="C79" s="4"/>
      <c r="D79" s="3"/>
    </row>
    <row r="80" spans="1:4" x14ac:dyDescent="0.3">
      <c r="A80" s="3"/>
      <c r="C80" s="4"/>
      <c r="D80" s="3"/>
    </row>
    <row r="81" spans="1:4" x14ac:dyDescent="0.3">
      <c r="A81" s="3"/>
      <c r="C81" s="4"/>
      <c r="D81" s="3"/>
    </row>
    <row r="82" spans="1:4" x14ac:dyDescent="0.3">
      <c r="A82" s="3"/>
      <c r="C82" s="4"/>
      <c r="D82" s="3"/>
    </row>
    <row r="83" spans="1:4" x14ac:dyDescent="0.3">
      <c r="A83" s="3"/>
      <c r="C83" s="4"/>
      <c r="D83" s="3"/>
    </row>
    <row r="84" spans="1:4" x14ac:dyDescent="0.3">
      <c r="A84" s="3"/>
      <c r="C84" s="4"/>
      <c r="D84" s="3"/>
    </row>
    <row r="85" spans="1:4" x14ac:dyDescent="0.3">
      <c r="A85" s="3"/>
      <c r="C85" s="4"/>
      <c r="D85" s="3"/>
    </row>
    <row r="86" spans="1:4" x14ac:dyDescent="0.3">
      <c r="A86" s="3"/>
      <c r="C86" s="4"/>
      <c r="D86" s="3"/>
    </row>
    <row r="87" spans="1:4" x14ac:dyDescent="0.3">
      <c r="A87" s="3"/>
      <c r="C87" s="4"/>
      <c r="D87" s="3"/>
    </row>
    <row r="88" spans="1:4" x14ac:dyDescent="0.3">
      <c r="A88" s="3"/>
      <c r="C88" s="4"/>
      <c r="D88" s="3"/>
    </row>
    <row r="89" spans="1:4" x14ac:dyDescent="0.3">
      <c r="A89" s="3"/>
      <c r="C89" s="4"/>
      <c r="D89" s="3"/>
    </row>
    <row r="90" spans="1:4" x14ac:dyDescent="0.3">
      <c r="A90" s="3"/>
      <c r="C90" s="4"/>
      <c r="D90" s="3"/>
    </row>
    <row r="91" spans="1:4" x14ac:dyDescent="0.3">
      <c r="A91" s="3"/>
      <c r="C91" s="4"/>
      <c r="D91" s="3"/>
    </row>
    <row r="92" spans="1:4" x14ac:dyDescent="0.3">
      <c r="A92" s="3"/>
      <c r="C92" s="4"/>
      <c r="D92" s="3"/>
    </row>
    <row r="93" spans="1:4" x14ac:dyDescent="0.3">
      <c r="A93" s="3"/>
      <c r="C93" s="4"/>
      <c r="D93" s="3"/>
    </row>
    <row r="94" spans="1:4" x14ac:dyDescent="0.3">
      <c r="A94" s="3"/>
      <c r="C94" s="4"/>
      <c r="D94" s="3"/>
    </row>
    <row r="95" spans="1:4" x14ac:dyDescent="0.3">
      <c r="A95" s="3"/>
      <c r="C95" s="4"/>
      <c r="D95" s="3"/>
    </row>
    <row r="96" spans="1:4" x14ac:dyDescent="0.3">
      <c r="A96" s="3"/>
      <c r="C96" s="4"/>
      <c r="D96" s="3"/>
    </row>
    <row r="97" spans="1:4" x14ac:dyDescent="0.3">
      <c r="A97" s="3"/>
      <c r="C97" s="4"/>
      <c r="D97" s="3"/>
    </row>
    <row r="98" spans="1:4" x14ac:dyDescent="0.3">
      <c r="A98" s="3"/>
      <c r="C98" s="4"/>
      <c r="D98" s="3"/>
    </row>
    <row r="99" spans="1:4" x14ac:dyDescent="0.3">
      <c r="A99" s="3"/>
      <c r="C99" s="4"/>
      <c r="D99" s="3"/>
    </row>
    <row r="100" spans="1:4" x14ac:dyDescent="0.3">
      <c r="A100" s="3"/>
      <c r="C100" s="4"/>
      <c r="D100" s="3"/>
    </row>
    <row r="101" spans="1:4" x14ac:dyDescent="0.3">
      <c r="A101" s="3"/>
      <c r="C101" s="4"/>
      <c r="D101" s="3"/>
    </row>
    <row r="102" spans="1:4" x14ac:dyDescent="0.3">
      <c r="A102" s="3"/>
      <c r="C102" s="4"/>
      <c r="D102" s="3"/>
    </row>
    <row r="103" spans="1:4" x14ac:dyDescent="0.3">
      <c r="A103" s="3"/>
      <c r="C103" s="4"/>
      <c r="D103" s="3"/>
    </row>
    <row r="104" spans="1:4" x14ac:dyDescent="0.3">
      <c r="A104" s="3"/>
      <c r="C104" s="4"/>
      <c r="D104" s="3"/>
    </row>
    <row r="105" spans="1:4" x14ac:dyDescent="0.3">
      <c r="A105" s="3"/>
      <c r="C105" s="4"/>
      <c r="D105" s="3"/>
    </row>
    <row r="106" spans="1:4" x14ac:dyDescent="0.3">
      <c r="A106" s="3"/>
      <c r="C106" s="4"/>
      <c r="D106" s="3"/>
    </row>
    <row r="107" spans="1:4" x14ac:dyDescent="0.3">
      <c r="A107" s="3"/>
      <c r="C107" s="4"/>
      <c r="D107" s="3"/>
    </row>
    <row r="108" spans="1:4" x14ac:dyDescent="0.3">
      <c r="A108" s="3"/>
      <c r="C108" s="4"/>
      <c r="D108" s="3"/>
    </row>
    <row r="109" spans="1:4" x14ac:dyDescent="0.3">
      <c r="A109" s="3"/>
      <c r="C109" s="4"/>
      <c r="D109" s="3"/>
    </row>
    <row r="110" spans="1:4" x14ac:dyDescent="0.3">
      <c r="A110" s="3"/>
      <c r="C110" s="4"/>
      <c r="D110" s="3"/>
    </row>
    <row r="111" spans="1:4" x14ac:dyDescent="0.3">
      <c r="A111" s="3"/>
      <c r="C111" s="4"/>
      <c r="D111" s="3"/>
    </row>
    <row r="112" spans="1:4" x14ac:dyDescent="0.3">
      <c r="A112" s="3"/>
      <c r="C112" s="4"/>
      <c r="D112" s="3"/>
    </row>
    <row r="113" spans="1:4" x14ac:dyDescent="0.3">
      <c r="A113" s="3"/>
      <c r="C113" s="4"/>
      <c r="D113" s="3"/>
    </row>
    <row r="114" spans="1:4" x14ac:dyDescent="0.3">
      <c r="A114" s="3"/>
      <c r="C114" s="4"/>
      <c r="D114" s="3"/>
    </row>
    <row r="115" spans="1:4" x14ac:dyDescent="0.3">
      <c r="A115" s="3"/>
      <c r="C115" s="4"/>
      <c r="D115" s="3"/>
    </row>
    <row r="116" spans="1:4" x14ac:dyDescent="0.3">
      <c r="A116" s="3"/>
      <c r="C116" s="4"/>
      <c r="D116" s="3"/>
    </row>
    <row r="117" spans="1:4" x14ac:dyDescent="0.3">
      <c r="A117" s="3"/>
      <c r="C117" s="4"/>
      <c r="D117" s="3"/>
    </row>
    <row r="118" spans="1:4" x14ac:dyDescent="0.3">
      <c r="A118" s="3"/>
      <c r="C118" s="4"/>
      <c r="D118" s="3"/>
    </row>
    <row r="119" spans="1:4" x14ac:dyDescent="0.3">
      <c r="A119" s="3"/>
      <c r="C119" s="4"/>
      <c r="D119" s="3"/>
    </row>
    <row r="120" spans="1:4" x14ac:dyDescent="0.3">
      <c r="A120" s="3"/>
      <c r="C120" s="4"/>
      <c r="D120" s="3"/>
    </row>
    <row r="121" spans="1:4" x14ac:dyDescent="0.3">
      <c r="A121" s="3"/>
      <c r="C121" s="4"/>
      <c r="D121" s="3"/>
    </row>
    <row r="122" spans="1:4" x14ac:dyDescent="0.3">
      <c r="A122" s="3"/>
      <c r="C122" s="4"/>
      <c r="D122" s="3"/>
    </row>
    <row r="123" spans="1:4" x14ac:dyDescent="0.3">
      <c r="A123" s="3"/>
      <c r="C123" s="4"/>
      <c r="D123" s="3"/>
    </row>
    <row r="124" spans="1:4" x14ac:dyDescent="0.3">
      <c r="A124" s="3"/>
      <c r="C124" s="4"/>
      <c r="D124" s="3"/>
    </row>
    <row r="125" spans="1:4" x14ac:dyDescent="0.3">
      <c r="A125" s="3"/>
      <c r="C125" s="4"/>
      <c r="D125" s="3"/>
    </row>
    <row r="126" spans="1:4" x14ac:dyDescent="0.3">
      <c r="A126" s="3"/>
      <c r="C126" s="4"/>
      <c r="D126" s="3"/>
    </row>
    <row r="127" spans="1:4" x14ac:dyDescent="0.3">
      <c r="A127" s="3"/>
      <c r="C127" s="4"/>
      <c r="D127" s="3"/>
    </row>
    <row r="128" spans="1:4" x14ac:dyDescent="0.3">
      <c r="A128" s="3"/>
      <c r="C128" s="4"/>
      <c r="D128" s="3"/>
    </row>
    <row r="129" spans="1:4" x14ac:dyDescent="0.3">
      <c r="A129" s="3"/>
      <c r="C129" s="4"/>
      <c r="D129" s="3"/>
    </row>
    <row r="130" spans="1:4" x14ac:dyDescent="0.3">
      <c r="A130" s="3"/>
      <c r="C130" s="4"/>
      <c r="D130" s="3"/>
    </row>
    <row r="131" spans="1:4" x14ac:dyDescent="0.3">
      <c r="A131" s="3"/>
      <c r="C131" s="4"/>
      <c r="D131" s="3"/>
    </row>
    <row r="132" spans="1:4" x14ac:dyDescent="0.3">
      <c r="A132" s="3"/>
      <c r="C132" s="4"/>
      <c r="D132" s="3"/>
    </row>
    <row r="133" spans="1:4" x14ac:dyDescent="0.3">
      <c r="A133" s="3"/>
      <c r="C133" s="4"/>
      <c r="D133" s="3"/>
    </row>
    <row r="134" spans="1:4" x14ac:dyDescent="0.3">
      <c r="A134" s="3"/>
      <c r="C134" s="4"/>
      <c r="D134" s="3"/>
    </row>
    <row r="135" spans="1:4" x14ac:dyDescent="0.3">
      <c r="A135" s="3"/>
      <c r="C135" s="4"/>
      <c r="D135" s="3"/>
    </row>
    <row r="136" spans="1:4" x14ac:dyDescent="0.3">
      <c r="A136" s="3"/>
      <c r="C136" s="4"/>
      <c r="D136" s="3"/>
    </row>
    <row r="137" spans="1:4" x14ac:dyDescent="0.3">
      <c r="A137" s="3"/>
      <c r="C137" s="4"/>
      <c r="D137" s="3"/>
    </row>
    <row r="138" spans="1:4" x14ac:dyDescent="0.3">
      <c r="A138" s="3"/>
      <c r="C138" s="4"/>
      <c r="D138" s="3"/>
    </row>
    <row r="139" spans="1:4" x14ac:dyDescent="0.3">
      <c r="A139" s="3"/>
      <c r="C139" s="4"/>
      <c r="D139" s="3"/>
    </row>
    <row r="140" spans="1:4" x14ac:dyDescent="0.3">
      <c r="A140" s="3"/>
      <c r="C140" s="4"/>
      <c r="D140" s="3"/>
    </row>
    <row r="141" spans="1:4" x14ac:dyDescent="0.3">
      <c r="A141" s="3"/>
      <c r="C141" s="4"/>
      <c r="D141" s="3"/>
    </row>
    <row r="142" spans="1:4" x14ac:dyDescent="0.3">
      <c r="A142" s="3"/>
      <c r="C142" s="4"/>
      <c r="D142" s="3"/>
    </row>
    <row r="143" spans="1:4" x14ac:dyDescent="0.3">
      <c r="A143" s="3"/>
      <c r="C143" s="4"/>
      <c r="D143" s="3"/>
    </row>
    <row r="144" spans="1:4" x14ac:dyDescent="0.3">
      <c r="A144" s="3"/>
      <c r="C144" s="4"/>
      <c r="D144" s="3"/>
    </row>
    <row r="145" spans="1:4" x14ac:dyDescent="0.3">
      <c r="A145" s="3"/>
      <c r="C145" s="4"/>
      <c r="D145" s="3"/>
    </row>
    <row r="146" spans="1:4" x14ac:dyDescent="0.3">
      <c r="A146" s="3"/>
      <c r="C146" s="4"/>
      <c r="D146" s="3"/>
    </row>
    <row r="147" spans="1:4" x14ac:dyDescent="0.3">
      <c r="A147" s="3"/>
      <c r="C147" s="4"/>
      <c r="D147" s="3"/>
    </row>
    <row r="148" spans="1:4" x14ac:dyDescent="0.3">
      <c r="A148" s="3"/>
      <c r="C148" s="4"/>
      <c r="D148" s="3"/>
    </row>
    <row r="149" spans="1:4" x14ac:dyDescent="0.3">
      <c r="A149" s="3"/>
      <c r="C149" s="4"/>
      <c r="D149" s="3"/>
    </row>
    <row r="150" spans="1:4" x14ac:dyDescent="0.3">
      <c r="A150" s="3"/>
      <c r="C150" s="4"/>
      <c r="D150" s="3"/>
    </row>
    <row r="151" spans="1:4" x14ac:dyDescent="0.3">
      <c r="A151" s="3"/>
      <c r="C151" s="4"/>
      <c r="D151" s="3"/>
    </row>
    <row r="152" spans="1:4" x14ac:dyDescent="0.3">
      <c r="A152" s="3"/>
      <c r="C152" s="4"/>
      <c r="D152" s="3"/>
    </row>
    <row r="153" spans="1:4" x14ac:dyDescent="0.3">
      <c r="A153" s="3"/>
      <c r="C153" s="4"/>
      <c r="D153" s="3"/>
    </row>
    <row r="154" spans="1:4" x14ac:dyDescent="0.3">
      <c r="A154" s="3"/>
      <c r="C154" s="4"/>
      <c r="D154" s="3"/>
    </row>
    <row r="155" spans="1:4" x14ac:dyDescent="0.3">
      <c r="A155" s="3"/>
      <c r="C155" s="4"/>
      <c r="D155" s="3"/>
    </row>
    <row r="156" spans="1:4" x14ac:dyDescent="0.3">
      <c r="A156" s="3"/>
      <c r="C156" s="4"/>
      <c r="D156" s="3"/>
    </row>
    <row r="157" spans="1:4" x14ac:dyDescent="0.3">
      <c r="A157" s="3"/>
      <c r="C157" s="4"/>
      <c r="D157" s="3"/>
    </row>
    <row r="158" spans="1:4" x14ac:dyDescent="0.3">
      <c r="A158" s="3"/>
      <c r="C158" s="4"/>
      <c r="D158" s="3"/>
    </row>
    <row r="159" spans="1:4" x14ac:dyDescent="0.3">
      <c r="A159" s="3"/>
      <c r="C159" s="4"/>
      <c r="D159" s="3"/>
    </row>
    <row r="160" spans="1:4" x14ac:dyDescent="0.3">
      <c r="A160" s="3"/>
      <c r="C160" s="4"/>
      <c r="D160" s="3"/>
    </row>
    <row r="161" spans="1:4" x14ac:dyDescent="0.3">
      <c r="A161" s="3"/>
      <c r="C161" s="4"/>
      <c r="D161" s="3"/>
    </row>
    <row r="162" spans="1:4" x14ac:dyDescent="0.3">
      <c r="A162" s="3"/>
      <c r="C162" s="4"/>
      <c r="D162" s="3"/>
    </row>
    <row r="163" spans="1:4" x14ac:dyDescent="0.3">
      <c r="A163" s="3"/>
      <c r="C163" s="4"/>
      <c r="D163" s="3"/>
    </row>
    <row r="164" spans="1:4" x14ac:dyDescent="0.3">
      <c r="A164" s="3"/>
      <c r="C164" s="4"/>
      <c r="D164" s="3"/>
    </row>
    <row r="165" spans="1:4" x14ac:dyDescent="0.3">
      <c r="A165" s="3"/>
      <c r="C165" s="4"/>
      <c r="D165" s="3"/>
    </row>
    <row r="166" spans="1:4" x14ac:dyDescent="0.3">
      <c r="A166" s="3"/>
      <c r="C166" s="4"/>
      <c r="D166" s="3"/>
    </row>
    <row r="167" spans="1:4" x14ac:dyDescent="0.3">
      <c r="A167" s="3"/>
      <c r="C167" s="4"/>
      <c r="D167" s="3"/>
    </row>
    <row r="168" spans="1:4" x14ac:dyDescent="0.3">
      <c r="A168" s="3"/>
      <c r="C168" s="4"/>
      <c r="D168" s="3"/>
    </row>
    <row r="169" spans="1:4" x14ac:dyDescent="0.3">
      <c r="A169" s="3"/>
      <c r="C169" s="4"/>
      <c r="D169" s="3"/>
    </row>
    <row r="170" spans="1:4" x14ac:dyDescent="0.3">
      <c r="A170" s="3"/>
      <c r="C170" s="4"/>
      <c r="D170" s="3"/>
    </row>
    <row r="171" spans="1:4" x14ac:dyDescent="0.3">
      <c r="A171" s="3"/>
      <c r="C171" s="4"/>
      <c r="D171" s="3"/>
    </row>
    <row r="172" spans="1:4" x14ac:dyDescent="0.3">
      <c r="A172" s="3"/>
      <c r="C172" s="4"/>
      <c r="D172" s="3"/>
    </row>
    <row r="173" spans="1:4" x14ac:dyDescent="0.3">
      <c r="A173" s="3"/>
      <c r="C173" s="4"/>
      <c r="D173" s="3"/>
    </row>
    <row r="174" spans="1:4" x14ac:dyDescent="0.3">
      <c r="A174" s="3"/>
      <c r="C174" s="4"/>
      <c r="D174" s="3"/>
    </row>
    <row r="175" spans="1:4" x14ac:dyDescent="0.3">
      <c r="A175" s="3"/>
      <c r="C175" s="4"/>
      <c r="D175" s="3"/>
    </row>
    <row r="176" spans="1:4" x14ac:dyDescent="0.3">
      <c r="A176" s="3"/>
      <c r="C176" s="4"/>
      <c r="D176" s="3"/>
    </row>
    <row r="177" spans="1:4" x14ac:dyDescent="0.3">
      <c r="A177" s="3"/>
      <c r="C177" s="4"/>
      <c r="D177" s="3"/>
    </row>
    <row r="178" spans="1:4" x14ac:dyDescent="0.3">
      <c r="A178" s="3"/>
      <c r="C178" s="4"/>
      <c r="D178" s="3"/>
    </row>
    <row r="179" spans="1:4" x14ac:dyDescent="0.3">
      <c r="A179" s="3"/>
      <c r="C179" s="4"/>
      <c r="D179" s="3"/>
    </row>
    <row r="180" spans="1:4" x14ac:dyDescent="0.3">
      <c r="A180" s="3"/>
      <c r="C180" s="4"/>
      <c r="D180" s="3"/>
    </row>
    <row r="181" spans="1:4" x14ac:dyDescent="0.3">
      <c r="A181" s="3"/>
      <c r="C181" s="4"/>
      <c r="D181" s="3"/>
    </row>
    <row r="182" spans="1:4" x14ac:dyDescent="0.3">
      <c r="A182" s="3"/>
      <c r="C182" s="4"/>
      <c r="D182" s="3"/>
    </row>
    <row r="183" spans="1:4" x14ac:dyDescent="0.3">
      <c r="A183" s="3"/>
      <c r="C183" s="4"/>
      <c r="D183" s="3"/>
    </row>
    <row r="184" spans="1:4" x14ac:dyDescent="0.3">
      <c r="A184" s="3"/>
      <c r="C184" s="4"/>
      <c r="D184" s="3"/>
    </row>
    <row r="185" spans="1:4" x14ac:dyDescent="0.3">
      <c r="A185" s="3"/>
      <c r="C185" s="4"/>
      <c r="D185" s="3"/>
    </row>
    <row r="186" spans="1:4" x14ac:dyDescent="0.3">
      <c r="A186" s="3"/>
      <c r="C186" s="4"/>
      <c r="D186" s="3"/>
    </row>
    <row r="187" spans="1:4" x14ac:dyDescent="0.3">
      <c r="A187" s="3"/>
      <c r="C187" s="4"/>
      <c r="D187" s="3"/>
    </row>
    <row r="188" spans="1:4" x14ac:dyDescent="0.3">
      <c r="A188" s="3"/>
      <c r="C188" s="4"/>
      <c r="D188" s="3"/>
    </row>
    <row r="189" spans="1:4" x14ac:dyDescent="0.3">
      <c r="A189" s="3"/>
      <c r="C189" s="4"/>
      <c r="D189" s="3"/>
    </row>
    <row r="190" spans="1:4" x14ac:dyDescent="0.3">
      <c r="A190" s="3"/>
      <c r="C190" s="4"/>
      <c r="D190" s="3"/>
    </row>
    <row r="191" spans="1:4" x14ac:dyDescent="0.3">
      <c r="A191" s="3"/>
      <c r="C191" s="4"/>
      <c r="D191" s="3"/>
    </row>
    <row r="192" spans="1:4" x14ac:dyDescent="0.3">
      <c r="A192" s="3"/>
      <c r="C192" s="4"/>
      <c r="D192" s="3"/>
    </row>
    <row r="193" spans="1:4" x14ac:dyDescent="0.3">
      <c r="A193" s="3"/>
      <c r="C193" s="4"/>
      <c r="D193" s="3"/>
    </row>
    <row r="194" spans="1:4" x14ac:dyDescent="0.3">
      <c r="A194" s="3"/>
      <c r="C194" s="4"/>
      <c r="D194" s="3"/>
    </row>
    <row r="195" spans="1:4" x14ac:dyDescent="0.3">
      <c r="A195" s="3"/>
      <c r="C195" s="4"/>
      <c r="D195" s="3"/>
    </row>
    <row r="196" spans="1:4" x14ac:dyDescent="0.3">
      <c r="A196" s="3"/>
      <c r="C196" s="4"/>
      <c r="D196" s="3"/>
    </row>
    <row r="197" spans="1:4" x14ac:dyDescent="0.3">
      <c r="A197" s="3"/>
      <c r="C197" s="4"/>
      <c r="D197" s="3"/>
    </row>
    <row r="198" spans="1:4" x14ac:dyDescent="0.3">
      <c r="A198" s="3"/>
      <c r="C198" s="4"/>
      <c r="D198" s="3"/>
    </row>
    <row r="199" spans="1:4" x14ac:dyDescent="0.3">
      <c r="A199" s="3"/>
      <c r="C199" s="4"/>
      <c r="D199" s="3"/>
    </row>
    <row r="200" spans="1:4" x14ac:dyDescent="0.3">
      <c r="A200" s="3"/>
      <c r="C200" s="4"/>
      <c r="D200" s="3"/>
    </row>
    <row r="201" spans="1:4" x14ac:dyDescent="0.3">
      <c r="A201" s="3"/>
      <c r="C201" s="4"/>
      <c r="D201" s="3"/>
    </row>
    <row r="202" spans="1:4" x14ac:dyDescent="0.3">
      <c r="A202" s="3"/>
      <c r="C202" s="4"/>
      <c r="D202" s="3"/>
    </row>
    <row r="203" spans="1:4" x14ac:dyDescent="0.3">
      <c r="A203" s="3"/>
      <c r="C203" s="4"/>
      <c r="D203" s="3"/>
    </row>
    <row r="204" spans="1:4" x14ac:dyDescent="0.3">
      <c r="A204" s="3"/>
      <c r="C204" s="4"/>
      <c r="D204" s="3"/>
    </row>
    <row r="205" spans="1:4" x14ac:dyDescent="0.3">
      <c r="A205" s="3"/>
      <c r="C205" s="4"/>
      <c r="D205" s="3"/>
    </row>
    <row r="206" spans="1:4" x14ac:dyDescent="0.3">
      <c r="A206" s="3"/>
      <c r="C206" s="4"/>
      <c r="D206" s="3"/>
    </row>
    <row r="207" spans="1:4" x14ac:dyDescent="0.3">
      <c r="A207" s="3"/>
      <c r="C207" s="4"/>
      <c r="D207" s="3"/>
    </row>
    <row r="208" spans="1:4" x14ac:dyDescent="0.3">
      <c r="A208" s="3"/>
      <c r="C208" s="4"/>
      <c r="D208" s="3"/>
    </row>
    <row r="209" spans="1:4" x14ac:dyDescent="0.3">
      <c r="A209" s="3"/>
      <c r="C209" s="4"/>
      <c r="D209" s="3"/>
    </row>
    <row r="210" spans="1:4" x14ac:dyDescent="0.3">
      <c r="A210" s="3"/>
      <c r="C210" s="4"/>
      <c r="D210" s="3"/>
    </row>
    <row r="211" spans="1:4" x14ac:dyDescent="0.3">
      <c r="A211" s="3"/>
      <c r="C211" s="4"/>
      <c r="D211" s="3"/>
    </row>
    <row r="212" spans="1:4" x14ac:dyDescent="0.3">
      <c r="A212" s="3"/>
      <c r="C212" s="4"/>
      <c r="D212" s="3"/>
    </row>
    <row r="213" spans="1:4" x14ac:dyDescent="0.3">
      <c r="A213" s="3"/>
      <c r="C213" s="4"/>
      <c r="D213" s="3"/>
    </row>
    <row r="214" spans="1:4" x14ac:dyDescent="0.3">
      <c r="A214" s="3"/>
      <c r="C214" s="4"/>
      <c r="D214" s="3"/>
    </row>
    <row r="215" spans="1:4" x14ac:dyDescent="0.3">
      <c r="A215" s="3"/>
      <c r="C215" s="4"/>
      <c r="D215" s="3"/>
    </row>
    <row r="216" spans="1:4" x14ac:dyDescent="0.3">
      <c r="A216" s="3"/>
      <c r="C216" s="4"/>
      <c r="D216" s="3"/>
    </row>
    <row r="217" spans="1:4" x14ac:dyDescent="0.3">
      <c r="A217" s="3"/>
      <c r="C217" s="4"/>
      <c r="D217" s="3"/>
    </row>
    <row r="218" spans="1:4" x14ac:dyDescent="0.3">
      <c r="A218" s="3"/>
      <c r="C218" s="4"/>
      <c r="D218" s="3"/>
    </row>
    <row r="219" spans="1:4" x14ac:dyDescent="0.3">
      <c r="A219" s="3"/>
      <c r="C219" s="4"/>
      <c r="D219" s="3"/>
    </row>
    <row r="220" spans="1:4" x14ac:dyDescent="0.3">
      <c r="A220" s="3"/>
      <c r="C220" s="4"/>
      <c r="D220" s="3"/>
    </row>
    <row r="221" spans="1:4" x14ac:dyDescent="0.3">
      <c r="A221" s="3"/>
      <c r="C221" s="4"/>
      <c r="D221" s="3"/>
    </row>
    <row r="222" spans="1:4" x14ac:dyDescent="0.3">
      <c r="A222" s="3"/>
      <c r="C222" s="4"/>
      <c r="D222" s="3"/>
    </row>
    <row r="223" spans="1:4" x14ac:dyDescent="0.3">
      <c r="A223" s="3"/>
      <c r="C223" s="4"/>
      <c r="D223" s="3"/>
    </row>
    <row r="224" spans="1:4" x14ac:dyDescent="0.3">
      <c r="A224" s="3"/>
      <c r="C224" s="4"/>
      <c r="D224" s="3"/>
    </row>
    <row r="225" spans="1:4" x14ac:dyDescent="0.3">
      <c r="A225" s="3"/>
      <c r="C225" s="4"/>
      <c r="D225" s="3"/>
    </row>
    <row r="226" spans="1:4" x14ac:dyDescent="0.3">
      <c r="A226" s="3"/>
      <c r="C226" s="4"/>
      <c r="D226" s="3"/>
    </row>
    <row r="227" spans="1:4" x14ac:dyDescent="0.3">
      <c r="A227" s="3"/>
      <c r="C227" s="4"/>
      <c r="D227" s="3"/>
    </row>
    <row r="228" spans="1:4" x14ac:dyDescent="0.3">
      <c r="A228" s="3"/>
      <c r="C228" s="4"/>
      <c r="D228" s="3"/>
    </row>
    <row r="229" spans="1:4" x14ac:dyDescent="0.3">
      <c r="A229" s="3"/>
      <c r="C229" s="4"/>
      <c r="D229" s="3"/>
    </row>
    <row r="230" spans="1:4" x14ac:dyDescent="0.3">
      <c r="A230" s="3"/>
      <c r="C230" s="4"/>
      <c r="D230" s="3"/>
    </row>
    <row r="231" spans="1:4" x14ac:dyDescent="0.3">
      <c r="A231" s="3"/>
      <c r="C231" s="4"/>
      <c r="D231" s="3"/>
    </row>
    <row r="232" spans="1:4" x14ac:dyDescent="0.3">
      <c r="A232" s="3"/>
      <c r="C232" s="4"/>
      <c r="D232" s="3"/>
    </row>
    <row r="233" spans="1:4" x14ac:dyDescent="0.3">
      <c r="A233" s="3"/>
      <c r="C233" s="4"/>
      <c r="D233" s="3"/>
    </row>
    <row r="234" spans="1:4" x14ac:dyDescent="0.3">
      <c r="A234" s="3"/>
      <c r="C234" s="4"/>
      <c r="D234" s="3"/>
    </row>
    <row r="235" spans="1:4" x14ac:dyDescent="0.3">
      <c r="A235" s="3"/>
      <c r="C235" s="4"/>
      <c r="D235" s="3"/>
    </row>
    <row r="236" spans="1:4" x14ac:dyDescent="0.3">
      <c r="A236" s="3"/>
      <c r="C236" s="4"/>
      <c r="D236" s="3"/>
    </row>
    <row r="237" spans="1:4" x14ac:dyDescent="0.3">
      <c r="A237" s="3"/>
      <c r="C237" s="4"/>
      <c r="D237" s="3"/>
    </row>
    <row r="238" spans="1:4" x14ac:dyDescent="0.3">
      <c r="A238" s="3"/>
      <c r="C238" s="4"/>
      <c r="D238" s="3"/>
    </row>
    <row r="239" spans="1:4" x14ac:dyDescent="0.3">
      <c r="A239" s="3"/>
      <c r="C239" s="4"/>
      <c r="D239" s="3"/>
    </row>
    <row r="240" spans="1:4" x14ac:dyDescent="0.3">
      <c r="A240" s="3"/>
      <c r="C240" s="4"/>
      <c r="D240" s="3"/>
    </row>
    <row r="241" spans="1:4" x14ac:dyDescent="0.3">
      <c r="A241" s="3"/>
      <c r="C241" s="4"/>
      <c r="D241" s="3"/>
    </row>
    <row r="242" spans="1:4" x14ac:dyDescent="0.3">
      <c r="A242" s="3"/>
      <c r="C242" s="4"/>
      <c r="D242" s="3"/>
    </row>
    <row r="243" spans="1:4" x14ac:dyDescent="0.3">
      <c r="A243" s="3"/>
      <c r="C243" s="4"/>
      <c r="D243" s="3"/>
    </row>
    <row r="244" spans="1:4" x14ac:dyDescent="0.3">
      <c r="A244" s="3"/>
      <c r="C244" s="4"/>
      <c r="D244" s="3"/>
    </row>
    <row r="245" spans="1:4" x14ac:dyDescent="0.3">
      <c r="A245" s="3"/>
      <c r="C245" s="4"/>
      <c r="D245" s="3"/>
    </row>
    <row r="246" spans="1:4" x14ac:dyDescent="0.3">
      <c r="A246" s="3"/>
      <c r="C246" s="4"/>
      <c r="D246" s="3"/>
    </row>
    <row r="247" spans="1:4" x14ac:dyDescent="0.3">
      <c r="A247" s="3"/>
      <c r="C247" s="4"/>
      <c r="D247" s="3"/>
    </row>
    <row r="248" spans="1:4" x14ac:dyDescent="0.3">
      <c r="A248" s="3"/>
      <c r="C248" s="4"/>
      <c r="D248" s="3"/>
    </row>
    <row r="249" spans="1:4" x14ac:dyDescent="0.3">
      <c r="A249" s="3"/>
      <c r="C249" s="4"/>
      <c r="D249" s="3"/>
    </row>
    <row r="250" spans="1:4" x14ac:dyDescent="0.3">
      <c r="A250" s="3"/>
      <c r="C250" s="4"/>
      <c r="D250" s="3"/>
    </row>
    <row r="251" spans="1:4" x14ac:dyDescent="0.3">
      <c r="A251" s="3"/>
      <c r="C251" s="4"/>
      <c r="D251" s="3"/>
    </row>
    <row r="252" spans="1:4" x14ac:dyDescent="0.3">
      <c r="A252" s="3"/>
      <c r="C252" s="4"/>
      <c r="D252" s="3"/>
    </row>
    <row r="253" spans="1:4" x14ac:dyDescent="0.3">
      <c r="A253" s="3"/>
      <c r="C253" s="4"/>
      <c r="D253" s="3"/>
    </row>
    <row r="254" spans="1:4" x14ac:dyDescent="0.3">
      <c r="A254" s="3"/>
      <c r="C254" s="4"/>
      <c r="D254" s="3"/>
    </row>
    <row r="255" spans="1:4" x14ac:dyDescent="0.3">
      <c r="A255" s="3"/>
      <c r="C255" s="4"/>
      <c r="D255" s="3"/>
    </row>
    <row r="256" spans="1:4" x14ac:dyDescent="0.3">
      <c r="A256" s="3"/>
      <c r="C256" s="4"/>
      <c r="D256" s="3"/>
    </row>
    <row r="257" spans="1:4" x14ac:dyDescent="0.3">
      <c r="A257" s="3"/>
      <c r="C257" s="4"/>
      <c r="D257" s="3"/>
    </row>
    <row r="258" spans="1:4" x14ac:dyDescent="0.3">
      <c r="A258" s="3"/>
      <c r="C258" s="4"/>
      <c r="D258" s="3"/>
    </row>
    <row r="259" spans="1:4" x14ac:dyDescent="0.3">
      <c r="A259" s="3"/>
      <c r="C259" s="4"/>
      <c r="D259" s="3"/>
    </row>
    <row r="260" spans="1:4" x14ac:dyDescent="0.3">
      <c r="A260" s="3"/>
      <c r="C260" s="4"/>
      <c r="D260" s="3"/>
    </row>
    <row r="261" spans="1:4" x14ac:dyDescent="0.3">
      <c r="A261" s="3"/>
      <c r="C261" s="4"/>
      <c r="D261" s="3"/>
    </row>
    <row r="262" spans="1:4" x14ac:dyDescent="0.3">
      <c r="A262" s="3"/>
      <c r="C262" s="4"/>
      <c r="D262" s="3"/>
    </row>
    <row r="263" spans="1:4" x14ac:dyDescent="0.3">
      <c r="A263" s="3"/>
      <c r="C263" s="4"/>
      <c r="D263" s="3"/>
    </row>
    <row r="264" spans="1:4" x14ac:dyDescent="0.3">
      <c r="A264" s="3"/>
      <c r="C264" s="4"/>
      <c r="D264" s="3"/>
    </row>
    <row r="265" spans="1:4" x14ac:dyDescent="0.3">
      <c r="A265" s="3"/>
      <c r="C265" s="4"/>
      <c r="D265" s="3"/>
    </row>
    <row r="266" spans="1:4" x14ac:dyDescent="0.3">
      <c r="A266" s="3"/>
      <c r="C266" s="4"/>
      <c r="D266" s="3"/>
    </row>
    <row r="267" spans="1:4" x14ac:dyDescent="0.3">
      <c r="A267" s="3"/>
      <c r="C267" s="4"/>
      <c r="D267" s="3"/>
    </row>
    <row r="268" spans="1:4" x14ac:dyDescent="0.3">
      <c r="A268" s="3"/>
      <c r="C268" s="4"/>
      <c r="D268" s="3"/>
    </row>
    <row r="269" spans="1:4" x14ac:dyDescent="0.3">
      <c r="A269" s="3"/>
      <c r="C269" s="4"/>
      <c r="D269" s="3"/>
    </row>
    <row r="270" spans="1:4" x14ac:dyDescent="0.3">
      <c r="A270" s="3"/>
      <c r="C270" s="4"/>
      <c r="D270" s="3"/>
    </row>
    <row r="271" spans="1:4" x14ac:dyDescent="0.3">
      <c r="A271" s="3"/>
      <c r="C271" s="4"/>
      <c r="D271" s="3"/>
    </row>
    <row r="272" spans="1:4" x14ac:dyDescent="0.3">
      <c r="A272" s="3"/>
      <c r="C272" s="4"/>
      <c r="D272" s="3"/>
    </row>
    <row r="273" spans="1:4" x14ac:dyDescent="0.3">
      <c r="A273" s="3"/>
      <c r="C273" s="4"/>
      <c r="D273" s="3"/>
    </row>
    <row r="274" spans="1:4" x14ac:dyDescent="0.3">
      <c r="A274" s="3"/>
      <c r="C274" s="4"/>
      <c r="D274" s="3"/>
    </row>
    <row r="275" spans="1:4" x14ac:dyDescent="0.3">
      <c r="A275" s="3"/>
      <c r="C275" s="4"/>
      <c r="D275" s="3"/>
    </row>
    <row r="276" spans="1:4" x14ac:dyDescent="0.3">
      <c r="A276" s="3"/>
      <c r="C276" s="4"/>
      <c r="D276" s="3"/>
    </row>
    <row r="277" spans="1:4" x14ac:dyDescent="0.3">
      <c r="A277" s="3"/>
      <c r="C277" s="4"/>
      <c r="D277" s="3"/>
    </row>
    <row r="278" spans="1:4" x14ac:dyDescent="0.3">
      <c r="A278" s="3"/>
      <c r="C278" s="4"/>
      <c r="D278" s="3"/>
    </row>
    <row r="279" spans="1:4" x14ac:dyDescent="0.3">
      <c r="A279" s="3"/>
      <c r="C279" s="4"/>
      <c r="D279" s="3"/>
    </row>
    <row r="280" spans="1:4" x14ac:dyDescent="0.3">
      <c r="A280" s="3"/>
      <c r="C280" s="4"/>
      <c r="D280" s="3"/>
    </row>
    <row r="281" spans="1:4" x14ac:dyDescent="0.3">
      <c r="A281" s="3"/>
      <c r="C281" s="4"/>
      <c r="D281" s="3"/>
    </row>
    <row r="282" spans="1:4" x14ac:dyDescent="0.3">
      <c r="A282" s="3"/>
      <c r="C282" s="4"/>
      <c r="D282" s="3"/>
    </row>
    <row r="283" spans="1:4" x14ac:dyDescent="0.3">
      <c r="A283" s="3"/>
      <c r="C283" s="4"/>
      <c r="D283" s="3"/>
    </row>
    <row r="284" spans="1:4" x14ac:dyDescent="0.3">
      <c r="A284" s="3"/>
      <c r="C284" s="4"/>
      <c r="D284" s="3"/>
    </row>
    <row r="285" spans="1:4" x14ac:dyDescent="0.3">
      <c r="A285" s="3"/>
      <c r="C285" s="4"/>
      <c r="D285" s="3"/>
    </row>
    <row r="286" spans="1:4" x14ac:dyDescent="0.3">
      <c r="A286" s="3"/>
      <c r="C286" s="4"/>
      <c r="D286" s="3"/>
    </row>
    <row r="287" spans="1:4" x14ac:dyDescent="0.3">
      <c r="A287" s="3"/>
      <c r="C287" s="4"/>
      <c r="D287" s="3"/>
    </row>
    <row r="288" spans="1:4" x14ac:dyDescent="0.3">
      <c r="A288" s="3"/>
      <c r="C288" s="4"/>
      <c r="D288" s="3"/>
    </row>
    <row r="289" spans="1:4" x14ac:dyDescent="0.3">
      <c r="A289" s="3"/>
      <c r="C289" s="4"/>
      <c r="D289" s="3"/>
    </row>
    <row r="290" spans="1:4" x14ac:dyDescent="0.3">
      <c r="A290" s="3"/>
      <c r="C290" s="4"/>
      <c r="D290" s="3"/>
    </row>
    <row r="291" spans="1:4" x14ac:dyDescent="0.3">
      <c r="A291" s="3"/>
      <c r="C291" s="4"/>
      <c r="D291" s="3"/>
    </row>
    <row r="292" spans="1:4" x14ac:dyDescent="0.3">
      <c r="A292" s="3"/>
      <c r="C292" s="4"/>
      <c r="D292" s="3"/>
    </row>
    <row r="293" spans="1:4" x14ac:dyDescent="0.3">
      <c r="A293" s="3"/>
      <c r="C293" s="4"/>
      <c r="D293" s="3"/>
    </row>
    <row r="294" spans="1:4" x14ac:dyDescent="0.3">
      <c r="A294" s="3"/>
      <c r="C294" s="4"/>
      <c r="D294" s="3"/>
    </row>
    <row r="295" spans="1:4" x14ac:dyDescent="0.3">
      <c r="A295" s="3"/>
      <c r="C295" s="4"/>
      <c r="D295" s="3"/>
    </row>
    <row r="296" spans="1:4" x14ac:dyDescent="0.3">
      <c r="A296" s="3"/>
      <c r="C296" s="4"/>
      <c r="D296" s="3"/>
    </row>
    <row r="297" spans="1:4" x14ac:dyDescent="0.3">
      <c r="A297" s="3"/>
      <c r="C297" s="4"/>
      <c r="D297" s="3"/>
    </row>
    <row r="298" spans="1:4" x14ac:dyDescent="0.3">
      <c r="A298" s="3"/>
      <c r="C298" s="4"/>
      <c r="D298" s="3"/>
    </row>
    <row r="299" spans="1:4" x14ac:dyDescent="0.3">
      <c r="A299" s="3"/>
      <c r="C299" s="4"/>
      <c r="D299" s="3"/>
    </row>
    <row r="300" spans="1:4" x14ac:dyDescent="0.3">
      <c r="A300" s="3"/>
      <c r="C300" s="4"/>
      <c r="D300" s="3"/>
    </row>
    <row r="301" spans="1:4" x14ac:dyDescent="0.3">
      <c r="A301" s="3"/>
      <c r="C301" s="4"/>
      <c r="D301" s="3"/>
    </row>
    <row r="302" spans="1:4" x14ac:dyDescent="0.3">
      <c r="A302" s="3"/>
      <c r="C302" s="4"/>
      <c r="D302" s="3"/>
    </row>
    <row r="303" spans="1:4" x14ac:dyDescent="0.3">
      <c r="A303" s="3"/>
      <c r="C303" s="4"/>
      <c r="D303" s="3"/>
    </row>
    <row r="304" spans="1:4" x14ac:dyDescent="0.3">
      <c r="A304" s="3"/>
    </row>
    <row r="305" spans="1:1" x14ac:dyDescent="0.3">
      <c r="A305" s="3"/>
    </row>
    <row r="306" spans="1:1" x14ac:dyDescent="0.3">
      <c r="A306" s="3"/>
    </row>
    <row r="307" spans="1:1" x14ac:dyDescent="0.3">
      <c r="A307" s="3"/>
    </row>
    <row r="308" spans="1:1" x14ac:dyDescent="0.3">
      <c r="A308" s="3"/>
    </row>
    <row r="309" spans="1:1" x14ac:dyDescent="0.3">
      <c r="A309" s="3"/>
    </row>
    <row r="310" spans="1:1" x14ac:dyDescent="0.3">
      <c r="A310" s="3"/>
    </row>
    <row r="311" spans="1:1" x14ac:dyDescent="0.3">
      <c r="A311" s="3"/>
    </row>
    <row r="312" spans="1:1" x14ac:dyDescent="0.3">
      <c r="A312" s="3"/>
    </row>
    <row r="313" spans="1:1" x14ac:dyDescent="0.3">
      <c r="A313" s="3"/>
    </row>
    <row r="314" spans="1:1" x14ac:dyDescent="0.3">
      <c r="A314" s="3"/>
    </row>
    <row r="315" spans="1:1" x14ac:dyDescent="0.3">
      <c r="A315" s="3"/>
    </row>
    <row r="316" spans="1:1" x14ac:dyDescent="0.3">
      <c r="A316" s="3"/>
    </row>
    <row r="317" spans="1:1" x14ac:dyDescent="0.3">
      <c r="A317" s="3"/>
    </row>
    <row r="318" spans="1:1" x14ac:dyDescent="0.3">
      <c r="A318" s="3"/>
    </row>
    <row r="319" spans="1:1" x14ac:dyDescent="0.3">
      <c r="A319" s="3"/>
    </row>
    <row r="320" spans="1:1" x14ac:dyDescent="0.3">
      <c r="A320" s="3"/>
    </row>
    <row r="321" spans="1:1" x14ac:dyDescent="0.3">
      <c r="A321" s="3"/>
    </row>
    <row r="322" spans="1:1" x14ac:dyDescent="0.3">
      <c r="A322" s="3"/>
    </row>
    <row r="323" spans="1:1" x14ac:dyDescent="0.3">
      <c r="A323" s="3"/>
    </row>
    <row r="324" spans="1:1" x14ac:dyDescent="0.3">
      <c r="A324" s="3"/>
    </row>
    <row r="325" spans="1:1" x14ac:dyDescent="0.3">
      <c r="A325" s="3"/>
    </row>
    <row r="326" spans="1:1" x14ac:dyDescent="0.3">
      <c r="A326" s="3"/>
    </row>
    <row r="327" spans="1:1" x14ac:dyDescent="0.3">
      <c r="A327" s="3"/>
    </row>
    <row r="328" spans="1:1" x14ac:dyDescent="0.3">
      <c r="A328" s="3"/>
    </row>
    <row r="329" spans="1:1" x14ac:dyDescent="0.3">
      <c r="A329" s="3"/>
    </row>
    <row r="330" spans="1:1" x14ac:dyDescent="0.3">
      <c r="A330" s="3"/>
    </row>
    <row r="331" spans="1:1" x14ac:dyDescent="0.3">
      <c r="A331" s="3"/>
    </row>
    <row r="332" spans="1:1" x14ac:dyDescent="0.3">
      <c r="A332" s="3"/>
    </row>
  </sheetData>
  <mergeCells count="5">
    <mergeCell ref="A1:L1"/>
    <mergeCell ref="C12:D12"/>
    <mergeCell ref="C17:D17"/>
    <mergeCell ref="G12:H12"/>
    <mergeCell ref="G4:H7"/>
  </mergeCell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4E60-29EF-4AD2-B10E-8742D14CE1EF}">
  <dimension ref="A1:E138"/>
  <sheetViews>
    <sheetView workbookViewId="0">
      <selection sqref="A1:D1"/>
    </sheetView>
  </sheetViews>
  <sheetFormatPr defaultColWidth="9.109375" defaultRowHeight="14.4" x14ac:dyDescent="0.3"/>
  <cols>
    <col min="1" max="1" width="5.44140625" style="33" customWidth="1"/>
    <col min="2" max="2" width="34.77734375" style="33" customWidth="1"/>
    <col min="3" max="3" width="141.44140625" style="33" customWidth="1"/>
    <col min="4" max="4" width="4.44140625" style="33" customWidth="1"/>
    <col min="5" max="16384" width="9.109375" style="33"/>
  </cols>
  <sheetData>
    <row r="1" spans="1:4" ht="39.75" customHeight="1" x14ac:dyDescent="0.3">
      <c r="A1" s="148" t="s">
        <v>446</v>
      </c>
      <c r="B1" s="148"/>
      <c r="C1" s="148"/>
      <c r="D1" s="148"/>
    </row>
    <row r="2" spans="1:4" x14ac:dyDescent="0.3">
      <c r="A2" s="149"/>
      <c r="B2" s="149"/>
      <c r="C2" s="149"/>
      <c r="D2" s="149"/>
    </row>
    <row r="3" spans="1:4" x14ac:dyDescent="0.3">
      <c r="A3" s="150"/>
      <c r="B3" s="150"/>
      <c r="C3" s="150"/>
      <c r="D3" s="150"/>
    </row>
    <row r="4" spans="1:4" x14ac:dyDescent="0.3">
      <c r="A4" s="38"/>
      <c r="B4" s="38"/>
      <c r="C4" s="39" t="s">
        <v>343</v>
      </c>
      <c r="D4" s="40"/>
    </row>
    <row r="5" spans="1:4" x14ac:dyDescent="0.3">
      <c r="A5" s="38"/>
      <c r="B5" s="41" t="s">
        <v>344</v>
      </c>
      <c r="C5" s="42" t="s">
        <v>345</v>
      </c>
      <c r="D5" s="43"/>
    </row>
    <row r="6" spans="1:4" x14ac:dyDescent="0.3">
      <c r="A6" s="38"/>
      <c r="B6" s="38"/>
      <c r="C6" s="44"/>
      <c r="D6" s="43"/>
    </row>
    <row r="7" spans="1:4" x14ac:dyDescent="0.3">
      <c r="A7" s="38"/>
      <c r="B7" s="18" t="s">
        <v>346</v>
      </c>
      <c r="C7" s="45" t="s">
        <v>347</v>
      </c>
      <c r="D7" s="43"/>
    </row>
    <row r="8" spans="1:4" x14ac:dyDescent="0.3">
      <c r="A8" s="38"/>
      <c r="B8" s="18" t="s">
        <v>348</v>
      </c>
      <c r="C8" s="45" t="s">
        <v>349</v>
      </c>
      <c r="D8" s="43"/>
    </row>
    <row r="9" spans="1:4" ht="15" customHeight="1" x14ac:dyDescent="0.3">
      <c r="A9" s="38"/>
      <c r="B9" s="46" t="s">
        <v>350</v>
      </c>
      <c r="C9" s="47" t="s">
        <v>351</v>
      </c>
      <c r="D9" s="43"/>
    </row>
    <row r="10" spans="1:4" ht="15" customHeight="1" x14ac:dyDescent="0.3">
      <c r="A10" s="38"/>
      <c r="B10" s="18" t="s">
        <v>338</v>
      </c>
      <c r="C10" s="45" t="s">
        <v>352</v>
      </c>
      <c r="D10" s="43"/>
    </row>
    <row r="11" spans="1:4" ht="15" customHeight="1" x14ac:dyDescent="0.3">
      <c r="A11" s="38"/>
      <c r="B11" s="46" t="s">
        <v>334</v>
      </c>
      <c r="C11" s="47" t="s">
        <v>353</v>
      </c>
      <c r="D11" s="43"/>
    </row>
    <row r="12" spans="1:4" ht="15" customHeight="1" x14ac:dyDescent="0.3">
      <c r="A12" s="38"/>
      <c r="B12" s="46" t="s">
        <v>333</v>
      </c>
      <c r="C12" s="47" t="s">
        <v>354</v>
      </c>
      <c r="D12" s="43"/>
    </row>
    <row r="13" spans="1:4" ht="15" customHeight="1" x14ac:dyDescent="0.3">
      <c r="A13" s="38"/>
      <c r="B13" s="46" t="s">
        <v>332</v>
      </c>
      <c r="C13" s="47" t="s">
        <v>355</v>
      </c>
      <c r="D13" s="43"/>
    </row>
    <row r="14" spans="1:4" x14ac:dyDescent="0.3">
      <c r="A14" s="48"/>
      <c r="B14" s="49"/>
      <c r="C14" s="48"/>
      <c r="D14" s="50"/>
    </row>
    <row r="15" spans="1:4" x14ac:dyDescent="0.3">
      <c r="B15" s="51"/>
    </row>
    <row r="16" spans="1:4" x14ac:dyDescent="0.3">
      <c r="A16" s="151" t="s">
        <v>356</v>
      </c>
      <c r="B16" s="152"/>
      <c r="C16" s="152"/>
      <c r="D16" s="52"/>
    </row>
    <row r="17" spans="1:4" x14ac:dyDescent="0.3">
      <c r="A17" s="53"/>
      <c r="B17" s="41" t="s">
        <v>344</v>
      </c>
      <c r="C17" s="42" t="s">
        <v>345</v>
      </c>
      <c r="D17" s="54"/>
    </row>
    <row r="18" spans="1:4" x14ac:dyDescent="0.3">
      <c r="A18" s="53"/>
      <c r="B18" s="55"/>
      <c r="C18" s="56"/>
      <c r="D18" s="54"/>
    </row>
    <row r="19" spans="1:4" x14ac:dyDescent="0.3">
      <c r="A19" s="53"/>
      <c r="B19" s="18" t="s">
        <v>305</v>
      </c>
      <c r="C19" s="45" t="s">
        <v>357</v>
      </c>
      <c r="D19" s="54"/>
    </row>
    <row r="20" spans="1:4" x14ac:dyDescent="0.3">
      <c r="A20" s="53"/>
      <c r="B20" s="18" t="s">
        <v>307</v>
      </c>
      <c r="C20" s="45" t="s">
        <v>358</v>
      </c>
      <c r="D20" s="54"/>
    </row>
    <row r="21" spans="1:4" x14ac:dyDescent="0.3">
      <c r="A21" s="53"/>
      <c r="B21" s="18" t="s">
        <v>306</v>
      </c>
      <c r="C21" s="45" t="s">
        <v>359</v>
      </c>
      <c r="D21" s="54"/>
    </row>
    <row r="22" spans="1:4" x14ac:dyDescent="0.3">
      <c r="A22" s="53"/>
      <c r="B22" s="18" t="s">
        <v>360</v>
      </c>
      <c r="C22" s="45" t="s">
        <v>361</v>
      </c>
      <c r="D22" s="54"/>
    </row>
    <row r="23" spans="1:4" x14ac:dyDescent="0.3">
      <c r="A23" s="53"/>
      <c r="B23" s="18" t="s">
        <v>362</v>
      </c>
      <c r="C23" s="45" t="s">
        <v>363</v>
      </c>
      <c r="D23" s="54"/>
    </row>
    <row r="24" spans="1:4" customFormat="1" x14ac:dyDescent="0.3">
      <c r="A24" s="123"/>
      <c r="B24" s="124" t="s">
        <v>489</v>
      </c>
      <c r="C24" s="125" t="s">
        <v>492</v>
      </c>
      <c r="D24" s="126"/>
    </row>
    <row r="25" spans="1:4" customFormat="1" x14ac:dyDescent="0.3">
      <c r="A25" s="123"/>
      <c r="B25" s="127" t="s">
        <v>490</v>
      </c>
      <c r="C25" s="125" t="s">
        <v>493</v>
      </c>
      <c r="D25" s="126"/>
    </row>
    <row r="26" spans="1:4" customFormat="1" x14ac:dyDescent="0.3">
      <c r="A26" s="123"/>
      <c r="B26" s="127" t="s">
        <v>464</v>
      </c>
      <c r="C26" s="125" t="s">
        <v>505</v>
      </c>
      <c r="D26" s="126"/>
    </row>
    <row r="27" spans="1:4" x14ac:dyDescent="0.3">
      <c r="A27" s="57"/>
      <c r="B27" s="58"/>
      <c r="C27" s="59"/>
      <c r="D27" s="60"/>
    </row>
    <row r="28" spans="1:4" x14ac:dyDescent="0.3">
      <c r="B28" s="51"/>
    </row>
    <row r="29" spans="1:4" x14ac:dyDescent="0.3">
      <c r="A29" s="153" t="s">
        <v>364</v>
      </c>
      <c r="B29" s="154"/>
      <c r="C29" s="154"/>
      <c r="D29" s="61"/>
    </row>
    <row r="30" spans="1:4" x14ac:dyDescent="0.3">
      <c r="A30" s="62"/>
      <c r="B30" s="41" t="s">
        <v>344</v>
      </c>
      <c r="C30" s="42" t="s">
        <v>345</v>
      </c>
      <c r="D30" s="63"/>
    </row>
    <row r="31" spans="1:4" x14ac:dyDescent="0.3">
      <c r="A31" s="62"/>
      <c r="B31" s="64"/>
      <c r="C31" s="65"/>
      <c r="D31" s="63"/>
    </row>
    <row r="32" spans="1:4" x14ac:dyDescent="0.3">
      <c r="A32" s="62"/>
      <c r="B32" s="18" t="s">
        <v>308</v>
      </c>
      <c r="C32" s="45" t="s">
        <v>365</v>
      </c>
      <c r="D32" s="63"/>
    </row>
    <row r="33" spans="1:4" x14ac:dyDescent="0.3">
      <c r="A33" s="62"/>
      <c r="B33" s="18" t="s">
        <v>309</v>
      </c>
      <c r="C33" s="45" t="s">
        <v>366</v>
      </c>
      <c r="D33" s="63"/>
    </row>
    <row r="34" spans="1:4" x14ac:dyDescent="0.3">
      <c r="A34" s="62"/>
      <c r="B34" s="18" t="s">
        <v>310</v>
      </c>
      <c r="C34" s="45" t="s">
        <v>367</v>
      </c>
      <c r="D34" s="63"/>
    </row>
    <row r="35" spans="1:4" x14ac:dyDescent="0.3">
      <c r="A35" s="62"/>
      <c r="B35" s="18" t="s">
        <v>311</v>
      </c>
      <c r="C35" s="45" t="s">
        <v>368</v>
      </c>
      <c r="D35" s="63"/>
    </row>
    <row r="36" spans="1:4" x14ac:dyDescent="0.3">
      <c r="A36" s="62"/>
      <c r="B36" s="18" t="s">
        <v>306</v>
      </c>
      <c r="C36" s="45" t="s">
        <v>359</v>
      </c>
      <c r="D36" s="63"/>
    </row>
    <row r="37" spans="1:4" x14ac:dyDescent="0.3">
      <c r="A37" s="62"/>
      <c r="B37" s="18" t="s">
        <v>312</v>
      </c>
      <c r="C37" s="45" t="s">
        <v>369</v>
      </c>
      <c r="D37" s="63"/>
    </row>
    <row r="38" spans="1:4" x14ac:dyDescent="0.3">
      <c r="A38" s="62"/>
      <c r="B38" s="18" t="s">
        <v>313</v>
      </c>
      <c r="C38" s="45" t="s">
        <v>370</v>
      </c>
      <c r="D38" s="63"/>
    </row>
    <row r="39" spans="1:4" x14ac:dyDescent="0.3">
      <c r="A39" s="62"/>
      <c r="B39" s="18" t="s">
        <v>314</v>
      </c>
      <c r="C39" s="45" t="s">
        <v>371</v>
      </c>
      <c r="D39" s="63"/>
    </row>
    <row r="40" spans="1:4" x14ac:dyDescent="0.3">
      <c r="A40" s="62"/>
      <c r="B40" s="18" t="s">
        <v>315</v>
      </c>
      <c r="C40" s="45" t="s">
        <v>372</v>
      </c>
      <c r="D40" s="63"/>
    </row>
    <row r="41" spans="1:4" customFormat="1" x14ac:dyDescent="0.3">
      <c r="A41" s="128"/>
      <c r="B41" s="129" t="s">
        <v>489</v>
      </c>
      <c r="C41" s="125" t="s">
        <v>494</v>
      </c>
      <c r="D41" s="130"/>
    </row>
    <row r="42" spans="1:4" customFormat="1" x14ac:dyDescent="0.3">
      <c r="A42" s="128"/>
      <c r="B42" s="129" t="s">
        <v>495</v>
      </c>
      <c r="C42" s="125" t="s">
        <v>496</v>
      </c>
      <c r="D42" s="130"/>
    </row>
    <row r="43" spans="1:4" customFormat="1" x14ac:dyDescent="0.3">
      <c r="A43" s="128"/>
      <c r="B43" s="129" t="s">
        <v>497</v>
      </c>
      <c r="C43" s="125" t="s">
        <v>503</v>
      </c>
      <c r="D43" s="130"/>
    </row>
    <row r="44" spans="1:4" customFormat="1" x14ac:dyDescent="0.3">
      <c r="A44" s="128"/>
      <c r="B44" s="129" t="s">
        <v>498</v>
      </c>
      <c r="C44" s="125" t="s">
        <v>504</v>
      </c>
      <c r="D44" s="130"/>
    </row>
    <row r="45" spans="1:4" customFormat="1" x14ac:dyDescent="0.3">
      <c r="A45" s="128"/>
      <c r="B45" s="129" t="s">
        <v>467</v>
      </c>
      <c r="C45" s="125" t="s">
        <v>506</v>
      </c>
      <c r="D45" s="130"/>
    </row>
    <row r="46" spans="1:4" x14ac:dyDescent="0.3">
      <c r="A46" s="66"/>
      <c r="B46" s="67"/>
      <c r="C46" s="68"/>
      <c r="D46" s="69"/>
    </row>
    <row r="47" spans="1:4" x14ac:dyDescent="0.3">
      <c r="B47" s="51"/>
    </row>
    <row r="48" spans="1:4" x14ac:dyDescent="0.3">
      <c r="A48" s="155" t="s">
        <v>373</v>
      </c>
      <c r="B48" s="156"/>
      <c r="C48" s="156"/>
      <c r="D48" s="70"/>
    </row>
    <row r="49" spans="1:4" x14ac:dyDescent="0.3">
      <c r="A49" s="71"/>
      <c r="B49" s="41" t="s">
        <v>344</v>
      </c>
      <c r="C49" s="42" t="s">
        <v>345</v>
      </c>
      <c r="D49" s="72"/>
    </row>
    <row r="50" spans="1:4" x14ac:dyDescent="0.3">
      <c r="A50" s="71"/>
      <c r="B50" s="73"/>
      <c r="C50" s="74"/>
      <c r="D50" s="72"/>
    </row>
    <row r="51" spans="1:4" x14ac:dyDescent="0.3">
      <c r="A51" s="71"/>
      <c r="B51" s="18" t="s">
        <v>316</v>
      </c>
      <c r="C51" s="45" t="s">
        <v>374</v>
      </c>
      <c r="D51" s="72"/>
    </row>
    <row r="52" spans="1:4" x14ac:dyDescent="0.3">
      <c r="A52" s="71"/>
      <c r="B52" s="18" t="s">
        <v>317</v>
      </c>
      <c r="C52" s="45" t="s">
        <v>375</v>
      </c>
      <c r="D52" s="72"/>
    </row>
    <row r="53" spans="1:4" x14ac:dyDescent="0.3">
      <c r="A53" s="71"/>
      <c r="B53" s="18" t="s">
        <v>318</v>
      </c>
      <c r="C53" s="45" t="s">
        <v>376</v>
      </c>
      <c r="D53" s="72"/>
    </row>
    <row r="54" spans="1:4" x14ac:dyDescent="0.3">
      <c r="A54" s="71"/>
      <c r="B54" s="18" t="s">
        <v>319</v>
      </c>
      <c r="C54" s="45" t="s">
        <v>377</v>
      </c>
      <c r="D54" s="72"/>
    </row>
    <row r="55" spans="1:4" x14ac:dyDescent="0.3">
      <c r="A55" s="71"/>
      <c r="B55" s="18" t="s">
        <v>320</v>
      </c>
      <c r="C55" s="45" t="s">
        <v>378</v>
      </c>
      <c r="D55" s="72"/>
    </row>
    <row r="56" spans="1:4" x14ac:dyDescent="0.3">
      <c r="A56" s="71"/>
      <c r="B56" s="18" t="s">
        <v>321</v>
      </c>
      <c r="C56" s="45" t="s">
        <v>379</v>
      </c>
      <c r="D56" s="72"/>
    </row>
    <row r="57" spans="1:4" x14ac:dyDescent="0.3">
      <c r="A57" s="71"/>
      <c r="B57" s="18" t="s">
        <v>322</v>
      </c>
      <c r="C57" s="45" t="s">
        <v>380</v>
      </c>
      <c r="D57" s="72"/>
    </row>
    <row r="58" spans="1:4" x14ac:dyDescent="0.3">
      <c r="A58" s="71"/>
      <c r="B58" s="18" t="s">
        <v>323</v>
      </c>
      <c r="C58" s="45" t="s">
        <v>381</v>
      </c>
      <c r="D58" s="72"/>
    </row>
    <row r="59" spans="1:4" customFormat="1" x14ac:dyDescent="0.3">
      <c r="A59" s="131"/>
      <c r="B59" s="127" t="s">
        <v>489</v>
      </c>
      <c r="C59" s="125" t="s">
        <v>499</v>
      </c>
      <c r="D59" s="132"/>
    </row>
    <row r="60" spans="1:4" customFormat="1" x14ac:dyDescent="0.3">
      <c r="A60" s="131"/>
      <c r="B60" s="127" t="s">
        <v>490</v>
      </c>
      <c r="C60" s="125" t="s">
        <v>500</v>
      </c>
      <c r="D60" s="132"/>
    </row>
    <row r="61" spans="1:4" customFormat="1" x14ac:dyDescent="0.3">
      <c r="A61" s="131"/>
      <c r="B61" s="127" t="s">
        <v>471</v>
      </c>
      <c r="C61" s="125" t="s">
        <v>507</v>
      </c>
      <c r="D61" s="132"/>
    </row>
    <row r="62" spans="1:4" customFormat="1" x14ac:dyDescent="0.3">
      <c r="A62" s="131"/>
      <c r="B62" s="127" t="s">
        <v>472</v>
      </c>
      <c r="C62" s="125" t="s">
        <v>508</v>
      </c>
      <c r="D62" s="132"/>
    </row>
    <row r="63" spans="1:4" customFormat="1" x14ac:dyDescent="0.3">
      <c r="A63" s="131"/>
      <c r="B63" s="127" t="s">
        <v>473</v>
      </c>
      <c r="C63" s="125" t="s">
        <v>509</v>
      </c>
      <c r="D63" s="132"/>
    </row>
    <row r="64" spans="1:4" customFormat="1" x14ac:dyDescent="0.3">
      <c r="A64" s="131"/>
      <c r="B64" s="127" t="s">
        <v>474</v>
      </c>
      <c r="C64" s="125" t="s">
        <v>510</v>
      </c>
      <c r="D64" s="132"/>
    </row>
    <row r="65" spans="1:4" x14ac:dyDescent="0.3">
      <c r="A65" s="75"/>
      <c r="B65" s="76"/>
      <c r="C65" s="77"/>
      <c r="D65" s="78"/>
    </row>
    <row r="66" spans="1:4" x14ac:dyDescent="0.3">
      <c r="B66" s="51"/>
    </row>
    <row r="67" spans="1:4" x14ac:dyDescent="0.3">
      <c r="A67" s="146" t="s">
        <v>382</v>
      </c>
      <c r="B67" s="147"/>
      <c r="C67" s="147"/>
      <c r="D67" s="79"/>
    </row>
    <row r="68" spans="1:4" x14ac:dyDescent="0.3">
      <c r="A68" s="80"/>
      <c r="B68" s="41" t="s">
        <v>344</v>
      </c>
      <c r="C68" s="42" t="s">
        <v>345</v>
      </c>
      <c r="D68" s="81"/>
    </row>
    <row r="69" spans="1:4" x14ac:dyDescent="0.3">
      <c r="A69" s="80"/>
      <c r="B69" s="82"/>
      <c r="C69" s="83"/>
      <c r="D69" s="81"/>
    </row>
    <row r="70" spans="1:4" x14ac:dyDescent="0.3">
      <c r="A70" s="80"/>
      <c r="B70" s="18" t="s">
        <v>324</v>
      </c>
      <c r="C70" s="45" t="s">
        <v>383</v>
      </c>
      <c r="D70" s="81"/>
    </row>
    <row r="71" spans="1:4" x14ac:dyDescent="0.3">
      <c r="A71" s="80"/>
      <c r="B71" s="18" t="s">
        <v>325</v>
      </c>
      <c r="C71" s="45" t="s">
        <v>384</v>
      </c>
      <c r="D71" s="81"/>
    </row>
    <row r="72" spans="1:4" x14ac:dyDescent="0.3">
      <c r="A72" s="80"/>
      <c r="B72" s="18" t="s">
        <v>326</v>
      </c>
      <c r="C72" s="45" t="s">
        <v>385</v>
      </c>
      <c r="D72" s="81"/>
    </row>
    <row r="73" spans="1:4" x14ac:dyDescent="0.3">
      <c r="A73" s="80"/>
      <c r="B73" s="18" t="s">
        <v>327</v>
      </c>
      <c r="C73" s="45" t="s">
        <v>386</v>
      </c>
      <c r="D73" s="81"/>
    </row>
    <row r="74" spans="1:4" x14ac:dyDescent="0.3">
      <c r="A74" s="80"/>
      <c r="B74" s="18" t="s">
        <v>328</v>
      </c>
      <c r="C74" s="45" t="s">
        <v>387</v>
      </c>
      <c r="D74" s="81"/>
    </row>
    <row r="75" spans="1:4" x14ac:dyDescent="0.3">
      <c r="A75" s="80"/>
      <c r="B75" s="18" t="s">
        <v>329</v>
      </c>
      <c r="C75" s="45" t="s">
        <v>388</v>
      </c>
      <c r="D75" s="81"/>
    </row>
    <row r="76" spans="1:4" x14ac:dyDescent="0.3">
      <c r="A76" s="80"/>
      <c r="B76" s="18" t="s">
        <v>421</v>
      </c>
      <c r="C76" s="45" t="s">
        <v>439</v>
      </c>
      <c r="D76" s="81"/>
    </row>
    <row r="77" spans="1:4" x14ac:dyDescent="0.3">
      <c r="A77" s="80"/>
      <c r="B77" s="18" t="s">
        <v>389</v>
      </c>
      <c r="C77" s="45" t="s">
        <v>447</v>
      </c>
      <c r="D77" s="81"/>
    </row>
    <row r="78" spans="1:4" x14ac:dyDescent="0.3">
      <c r="A78" s="80"/>
      <c r="B78" s="18" t="s">
        <v>390</v>
      </c>
      <c r="C78" s="45" t="s">
        <v>391</v>
      </c>
      <c r="D78" s="81"/>
    </row>
    <row r="79" spans="1:4" customFormat="1" x14ac:dyDescent="0.3">
      <c r="A79" s="133"/>
      <c r="B79" s="18" t="s">
        <v>514</v>
      </c>
      <c r="C79" s="134" t="s">
        <v>501</v>
      </c>
      <c r="D79" s="135"/>
    </row>
    <row r="80" spans="1:4" customFormat="1" x14ac:dyDescent="0.3">
      <c r="A80" s="133"/>
      <c r="B80" s="18" t="s">
        <v>491</v>
      </c>
      <c r="C80" s="134" t="s">
        <v>502</v>
      </c>
      <c r="D80" s="135"/>
    </row>
    <row r="81" spans="1:5" customFormat="1" x14ac:dyDescent="0.3">
      <c r="A81" s="133"/>
      <c r="B81" s="117" t="s">
        <v>317</v>
      </c>
      <c r="C81" s="125" t="s">
        <v>511</v>
      </c>
      <c r="D81" s="135"/>
    </row>
    <row r="82" spans="1:5" customFormat="1" x14ac:dyDescent="0.3">
      <c r="A82" s="133"/>
      <c r="B82" s="117" t="s">
        <v>323</v>
      </c>
      <c r="C82" s="125" t="s">
        <v>512</v>
      </c>
      <c r="D82" s="135"/>
    </row>
    <row r="83" spans="1:5" customFormat="1" x14ac:dyDescent="0.3">
      <c r="A83" s="133"/>
      <c r="B83" s="117" t="s">
        <v>475</v>
      </c>
      <c r="C83" s="125" t="s">
        <v>513</v>
      </c>
      <c r="D83" s="135"/>
    </row>
    <row r="84" spans="1:5" x14ac:dyDescent="0.3">
      <c r="A84" s="84"/>
      <c r="B84" s="85"/>
      <c r="C84" s="86"/>
      <c r="D84" s="87"/>
    </row>
    <row r="86" spans="1:5" x14ac:dyDescent="0.3">
      <c r="A86" s="88"/>
      <c r="B86" s="89"/>
      <c r="C86" s="89" t="s">
        <v>392</v>
      </c>
      <c r="D86" s="90"/>
    </row>
    <row r="87" spans="1:5" x14ac:dyDescent="0.3">
      <c r="A87" s="91"/>
      <c r="B87" s="41" t="s">
        <v>344</v>
      </c>
      <c r="C87" s="42" t="s">
        <v>345</v>
      </c>
      <c r="D87" s="92"/>
    </row>
    <row r="88" spans="1:5" x14ac:dyDescent="0.3">
      <c r="A88" s="91"/>
      <c r="B88" s="93"/>
      <c r="C88" s="94"/>
      <c r="D88" s="92"/>
    </row>
    <row r="89" spans="1:5" x14ac:dyDescent="0.3">
      <c r="A89" s="91"/>
      <c r="B89" s="18" t="s">
        <v>330</v>
      </c>
      <c r="C89" s="45" t="s">
        <v>393</v>
      </c>
      <c r="D89" s="92"/>
    </row>
    <row r="90" spans="1:5" x14ac:dyDescent="0.3">
      <c r="A90" s="91"/>
      <c r="B90" s="18" t="s">
        <v>325</v>
      </c>
      <c r="C90" s="45" t="s">
        <v>384</v>
      </c>
      <c r="D90" s="92"/>
    </row>
    <row r="91" spans="1:5" x14ac:dyDescent="0.3">
      <c r="A91" s="91"/>
      <c r="B91" s="18" t="s">
        <v>424</v>
      </c>
      <c r="C91" s="45" t="s">
        <v>440</v>
      </c>
      <c r="D91" s="92"/>
    </row>
    <row r="92" spans="1:5" x14ac:dyDescent="0.3">
      <c r="A92" s="91"/>
      <c r="B92" s="18" t="s">
        <v>425</v>
      </c>
      <c r="C92" s="45" t="s">
        <v>441</v>
      </c>
      <c r="D92" s="92"/>
    </row>
    <row r="93" spans="1:5" x14ac:dyDescent="0.3">
      <c r="A93" s="91"/>
      <c r="B93" s="18" t="s">
        <v>426</v>
      </c>
      <c r="C93" s="45" t="s">
        <v>442</v>
      </c>
      <c r="D93" s="92"/>
      <c r="E93" s="95"/>
    </row>
    <row r="94" spans="1:5" x14ac:dyDescent="0.3">
      <c r="A94" s="91"/>
      <c r="B94" s="18" t="s">
        <v>427</v>
      </c>
      <c r="C94" s="45" t="s">
        <v>394</v>
      </c>
      <c r="D94" s="92"/>
      <c r="E94" s="95"/>
    </row>
    <row r="95" spans="1:5" x14ac:dyDescent="0.3">
      <c r="A95" s="91"/>
      <c r="B95" s="18" t="s">
        <v>428</v>
      </c>
      <c r="C95" s="45" t="s">
        <v>443</v>
      </c>
      <c r="D95" s="92"/>
      <c r="E95" s="95"/>
    </row>
    <row r="96" spans="1:5" x14ac:dyDescent="0.3">
      <c r="A96" s="91"/>
      <c r="B96" s="18" t="s">
        <v>395</v>
      </c>
      <c r="C96" s="45" t="s">
        <v>396</v>
      </c>
      <c r="D96" s="92"/>
      <c r="E96" s="95"/>
    </row>
    <row r="97" spans="1:5" x14ac:dyDescent="0.3">
      <c r="A97" s="91"/>
      <c r="B97" s="18" t="s">
        <v>397</v>
      </c>
      <c r="C97" s="45" t="s">
        <v>398</v>
      </c>
      <c r="D97" s="92"/>
      <c r="E97" s="95"/>
    </row>
    <row r="98" spans="1:5" x14ac:dyDescent="0.3">
      <c r="A98" s="91"/>
      <c r="B98" s="18" t="s">
        <v>400</v>
      </c>
      <c r="C98" s="45" t="s">
        <v>401</v>
      </c>
      <c r="D98" s="92"/>
      <c r="E98" s="95"/>
    </row>
    <row r="99" spans="1:5" x14ac:dyDescent="0.3">
      <c r="A99" s="91"/>
      <c r="B99" s="18" t="s">
        <v>402</v>
      </c>
      <c r="C99" s="45" t="s">
        <v>403</v>
      </c>
      <c r="D99" s="92"/>
      <c r="E99" s="95"/>
    </row>
    <row r="100" spans="1:5" x14ac:dyDescent="0.3">
      <c r="A100" s="91"/>
      <c r="B100" s="18" t="s">
        <v>404</v>
      </c>
      <c r="C100" s="45" t="s">
        <v>405</v>
      </c>
      <c r="D100" s="92"/>
      <c r="E100" s="95"/>
    </row>
    <row r="101" spans="1:5" x14ac:dyDescent="0.3">
      <c r="A101" s="91"/>
      <c r="B101" s="18" t="s">
        <v>331</v>
      </c>
      <c r="C101" s="45" t="s">
        <v>399</v>
      </c>
      <c r="D101" s="92"/>
      <c r="E101" s="95"/>
    </row>
    <row r="102" spans="1:5" x14ac:dyDescent="0.3">
      <c r="A102" s="91"/>
      <c r="B102" s="18" t="s">
        <v>389</v>
      </c>
      <c r="C102" s="45" t="s">
        <v>447</v>
      </c>
      <c r="D102" s="92"/>
      <c r="E102" s="95"/>
    </row>
    <row r="103" spans="1:5" x14ac:dyDescent="0.3">
      <c r="A103" s="96"/>
      <c r="B103" s="97"/>
      <c r="C103" s="98"/>
      <c r="D103" s="99"/>
      <c r="E103" s="95"/>
    </row>
    <row r="104" spans="1:5" x14ac:dyDescent="0.3">
      <c r="E104" s="95"/>
    </row>
    <row r="105" spans="1:5" x14ac:dyDescent="0.3">
      <c r="A105" s="100"/>
      <c r="B105" s="101"/>
      <c r="C105" s="100" t="s">
        <v>406</v>
      </c>
      <c r="D105" s="102"/>
    </row>
    <row r="106" spans="1:5" x14ac:dyDescent="0.3">
      <c r="A106" s="103"/>
      <c r="B106" s="41" t="s">
        <v>344</v>
      </c>
      <c r="C106" s="42" t="s">
        <v>345</v>
      </c>
      <c r="D106" s="104"/>
    </row>
    <row r="107" spans="1:5" x14ac:dyDescent="0.3">
      <c r="A107" s="103"/>
      <c r="B107" s="105"/>
      <c r="C107" s="106"/>
      <c r="D107" s="104"/>
    </row>
    <row r="108" spans="1:5" x14ac:dyDescent="0.3">
      <c r="A108" s="103"/>
      <c r="B108" s="18" t="s">
        <v>330</v>
      </c>
      <c r="C108" s="45" t="s">
        <v>393</v>
      </c>
      <c r="D108" s="104"/>
    </row>
    <row r="109" spans="1:5" x14ac:dyDescent="0.3">
      <c r="A109" s="103"/>
      <c r="B109" s="18" t="s">
        <v>325</v>
      </c>
      <c r="C109" s="45" t="s">
        <v>384</v>
      </c>
      <c r="D109" s="104"/>
    </row>
    <row r="110" spans="1:5" x14ac:dyDescent="0.3">
      <c r="A110" s="103"/>
      <c r="B110" s="18" t="s">
        <v>424</v>
      </c>
      <c r="C110" s="45" t="s">
        <v>440</v>
      </c>
      <c r="D110" s="104"/>
    </row>
    <row r="111" spans="1:5" x14ac:dyDescent="0.3">
      <c r="A111" s="103"/>
      <c r="B111" s="18" t="s">
        <v>425</v>
      </c>
      <c r="C111" s="45" t="s">
        <v>441</v>
      </c>
      <c r="D111" s="104"/>
    </row>
    <row r="112" spans="1:5" x14ac:dyDescent="0.3">
      <c r="A112" s="103"/>
      <c r="B112" s="18" t="s">
        <v>426</v>
      </c>
      <c r="C112" s="45" t="s">
        <v>442</v>
      </c>
      <c r="D112" s="104"/>
    </row>
    <row r="113" spans="1:4" x14ac:dyDescent="0.3">
      <c r="A113" s="103"/>
      <c r="B113" s="18" t="s">
        <v>389</v>
      </c>
      <c r="C113" s="45" t="s">
        <v>447</v>
      </c>
      <c r="D113" s="104"/>
    </row>
    <row r="114" spans="1:4" x14ac:dyDescent="0.3">
      <c r="A114" s="103"/>
      <c r="B114" s="18" t="s">
        <v>395</v>
      </c>
      <c r="C114" s="45" t="s">
        <v>396</v>
      </c>
      <c r="D114" s="104"/>
    </row>
    <row r="115" spans="1:4" x14ac:dyDescent="0.3">
      <c r="A115" s="103"/>
      <c r="B115" s="18" t="s">
        <v>397</v>
      </c>
      <c r="C115" s="45" t="s">
        <v>398</v>
      </c>
      <c r="D115" s="104"/>
    </row>
    <row r="116" spans="1:4" x14ac:dyDescent="0.3">
      <c r="A116" s="103"/>
      <c r="B116" s="18" t="s">
        <v>400</v>
      </c>
      <c r="C116" s="45" t="s">
        <v>401</v>
      </c>
      <c r="D116" s="104"/>
    </row>
    <row r="117" spans="1:4" x14ac:dyDescent="0.3">
      <c r="A117" s="103"/>
      <c r="B117" s="18" t="s">
        <v>402</v>
      </c>
      <c r="C117" s="45" t="s">
        <v>403</v>
      </c>
      <c r="D117" s="104"/>
    </row>
    <row r="118" spans="1:4" x14ac:dyDescent="0.3">
      <c r="A118" s="103"/>
      <c r="B118" s="18" t="s">
        <v>404</v>
      </c>
      <c r="C118" s="45" t="s">
        <v>405</v>
      </c>
      <c r="D118" s="104"/>
    </row>
    <row r="119" spans="1:4" x14ac:dyDescent="0.3">
      <c r="A119" s="103"/>
      <c r="B119" s="18" t="s">
        <v>428</v>
      </c>
      <c r="C119" s="45" t="s">
        <v>443</v>
      </c>
      <c r="D119" s="104"/>
    </row>
    <row r="120" spans="1:4" x14ac:dyDescent="0.3">
      <c r="A120" s="103"/>
      <c r="B120" s="18" t="s">
        <v>429</v>
      </c>
      <c r="C120" s="45" t="s">
        <v>444</v>
      </c>
      <c r="D120" s="104"/>
    </row>
    <row r="121" spans="1:4" x14ac:dyDescent="0.3">
      <c r="A121" s="103"/>
      <c r="B121" s="18" t="s">
        <v>430</v>
      </c>
      <c r="C121" s="45" t="s">
        <v>394</v>
      </c>
      <c r="D121" s="104"/>
    </row>
    <row r="122" spans="1:4" x14ac:dyDescent="0.3">
      <c r="A122" s="107"/>
      <c r="B122" s="108"/>
      <c r="C122" s="108"/>
      <c r="D122" s="109"/>
    </row>
    <row r="124" spans="1:4" x14ac:dyDescent="0.3">
      <c r="A124" s="110"/>
      <c r="B124" s="111"/>
      <c r="C124" s="110" t="s">
        <v>407</v>
      </c>
      <c r="D124" s="112"/>
    </row>
    <row r="125" spans="1:4" x14ac:dyDescent="0.3">
      <c r="A125" s="113"/>
      <c r="B125" s="41" t="s">
        <v>344</v>
      </c>
      <c r="C125" s="42" t="s">
        <v>345</v>
      </c>
      <c r="D125" s="114"/>
    </row>
    <row r="126" spans="1:4" x14ac:dyDescent="0.3">
      <c r="A126" s="113"/>
      <c r="B126" s="115"/>
      <c r="C126" s="116"/>
      <c r="D126" s="114"/>
    </row>
    <row r="127" spans="1:4" x14ac:dyDescent="0.3">
      <c r="A127" s="113"/>
      <c r="B127" s="18" t="s">
        <v>408</v>
      </c>
      <c r="C127" s="45" t="s">
        <v>409</v>
      </c>
      <c r="D127" s="114"/>
    </row>
    <row r="128" spans="1:4" x14ac:dyDescent="0.3">
      <c r="A128" s="113"/>
      <c r="B128" s="18" t="s">
        <v>325</v>
      </c>
      <c r="C128" s="45" t="s">
        <v>384</v>
      </c>
      <c r="D128" s="114"/>
    </row>
    <row r="129" spans="1:4" x14ac:dyDescent="0.3">
      <c r="A129" s="113"/>
      <c r="B129" s="18" t="s">
        <v>410</v>
      </c>
      <c r="C129" s="45" t="s">
        <v>411</v>
      </c>
      <c r="D129" s="114"/>
    </row>
    <row r="130" spans="1:4" x14ac:dyDescent="0.3">
      <c r="A130" s="113"/>
      <c r="B130" s="18" t="s">
        <v>412</v>
      </c>
      <c r="C130" s="45" t="s">
        <v>413</v>
      </c>
      <c r="D130" s="114"/>
    </row>
    <row r="131" spans="1:4" x14ac:dyDescent="0.3">
      <c r="A131" s="113"/>
      <c r="B131" s="18" t="s">
        <v>414</v>
      </c>
      <c r="C131" s="45" t="s">
        <v>445</v>
      </c>
      <c r="D131" s="114"/>
    </row>
    <row r="132" spans="1:4" x14ac:dyDescent="0.3">
      <c r="A132" s="113"/>
      <c r="B132" s="18" t="s">
        <v>415</v>
      </c>
      <c r="C132" s="33" t="s">
        <v>416</v>
      </c>
      <c r="D132" s="114"/>
    </row>
    <row r="133" spans="1:4" x14ac:dyDescent="0.3">
      <c r="A133" s="113"/>
      <c r="B133" s="18" t="s">
        <v>397</v>
      </c>
      <c r="C133" s="45" t="s">
        <v>398</v>
      </c>
      <c r="D133" s="114"/>
    </row>
    <row r="134" spans="1:4" x14ac:dyDescent="0.3">
      <c r="A134" s="113"/>
      <c r="B134" s="18" t="s">
        <v>389</v>
      </c>
      <c r="C134" s="45" t="s">
        <v>447</v>
      </c>
      <c r="D134" s="114"/>
    </row>
    <row r="135" spans="1:4" x14ac:dyDescent="0.3">
      <c r="A135" s="113"/>
      <c r="B135" s="117" t="s">
        <v>417</v>
      </c>
      <c r="C135" s="118" t="s">
        <v>418</v>
      </c>
      <c r="D135" s="114"/>
    </row>
    <row r="136" spans="1:4" x14ac:dyDescent="0.3">
      <c r="A136" s="113"/>
      <c r="B136" s="117" t="s">
        <v>419</v>
      </c>
      <c r="C136" s="118" t="s">
        <v>420</v>
      </c>
      <c r="D136" s="114"/>
    </row>
    <row r="137" spans="1:4" x14ac:dyDescent="0.3">
      <c r="A137" s="113"/>
      <c r="B137" s="117" t="s">
        <v>404</v>
      </c>
      <c r="C137" s="118" t="s">
        <v>405</v>
      </c>
      <c r="D137" s="114"/>
    </row>
    <row r="138" spans="1:4" x14ac:dyDescent="0.3">
      <c r="A138" s="119"/>
      <c r="B138" s="120"/>
      <c r="C138" s="121"/>
      <c r="D138" s="122"/>
    </row>
  </sheetData>
  <mergeCells count="6">
    <mergeCell ref="A67:C67"/>
    <mergeCell ref="A1:D1"/>
    <mergeCell ref="A2:D3"/>
    <mergeCell ref="A16:C16"/>
    <mergeCell ref="A29:C29"/>
    <mergeCell ref="A48:C48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77B8C-7B94-4161-910A-BB84DB4AB09D}">
  <dimension ref="A1:F126"/>
  <sheetViews>
    <sheetView workbookViewId="0">
      <selection activeCell="I13" sqref="I13"/>
    </sheetView>
  </sheetViews>
  <sheetFormatPr defaultColWidth="8.77734375" defaultRowHeight="14.4" x14ac:dyDescent="0.3"/>
  <cols>
    <col min="1" max="1" width="14.109375" bestFit="1" customWidth="1"/>
    <col min="2" max="2" width="9" customWidth="1"/>
    <col min="3" max="6" width="10.44140625" customWidth="1"/>
  </cols>
  <sheetData>
    <row r="1" spans="1:6" ht="29.25" customHeight="1" x14ac:dyDescent="0.3">
      <c r="A1" s="19" t="s">
        <v>299</v>
      </c>
      <c r="B1" s="20" t="s">
        <v>300</v>
      </c>
      <c r="C1" s="20" t="s">
        <v>301</v>
      </c>
      <c r="D1" s="20" t="s">
        <v>302</v>
      </c>
      <c r="E1" s="20" t="s">
        <v>303</v>
      </c>
      <c r="F1" s="20" t="s">
        <v>304</v>
      </c>
    </row>
    <row r="2" spans="1:6" x14ac:dyDescent="0.3">
      <c r="A2" t="s">
        <v>0</v>
      </c>
    </row>
    <row r="3" spans="1:6" x14ac:dyDescent="0.3">
      <c r="A3" t="s">
        <v>2</v>
      </c>
      <c r="B3" s="136">
        <v>0</v>
      </c>
      <c r="C3" s="136">
        <v>0</v>
      </c>
    </row>
    <row r="4" spans="1:6" x14ac:dyDescent="0.3">
      <c r="A4" t="s">
        <v>4</v>
      </c>
      <c r="B4" s="136">
        <v>39</v>
      </c>
      <c r="C4" s="136">
        <v>31</v>
      </c>
    </row>
    <row r="5" spans="1:6" x14ac:dyDescent="0.3">
      <c r="A5" t="s">
        <v>5</v>
      </c>
      <c r="B5" s="136">
        <v>22</v>
      </c>
      <c r="C5" s="136">
        <v>28</v>
      </c>
    </row>
    <row r="6" spans="1:6" x14ac:dyDescent="0.3">
      <c r="A6" t="s">
        <v>6</v>
      </c>
      <c r="B6" s="136">
        <v>52</v>
      </c>
      <c r="C6" s="136">
        <v>28</v>
      </c>
    </row>
    <row r="7" spans="1:6" x14ac:dyDescent="0.3">
      <c r="A7" t="s">
        <v>7</v>
      </c>
      <c r="B7" s="136">
        <v>12</v>
      </c>
      <c r="C7" s="136">
        <v>28</v>
      </c>
    </row>
    <row r="8" spans="1:6" x14ac:dyDescent="0.3">
      <c r="A8" t="s">
        <v>8</v>
      </c>
      <c r="B8" s="136">
        <v>2</v>
      </c>
      <c r="C8" s="136">
        <v>28</v>
      </c>
    </row>
    <row r="9" spans="1:6" x14ac:dyDescent="0.3">
      <c r="A9" t="s">
        <v>9</v>
      </c>
      <c r="B9" s="136">
        <v>42</v>
      </c>
      <c r="C9" s="136">
        <v>28</v>
      </c>
    </row>
    <row r="10" spans="1:6" x14ac:dyDescent="0.3">
      <c r="A10" t="s">
        <v>10</v>
      </c>
      <c r="B10" s="136">
        <v>32</v>
      </c>
      <c r="C10" s="136">
        <v>28</v>
      </c>
    </row>
    <row r="11" spans="1:6" x14ac:dyDescent="0.3">
      <c r="A11" t="s">
        <v>11</v>
      </c>
      <c r="B11" s="136">
        <v>27</v>
      </c>
      <c r="C11" s="136">
        <v>28</v>
      </c>
    </row>
    <row r="12" spans="1:6" x14ac:dyDescent="0.3">
      <c r="A12" t="s">
        <v>12</v>
      </c>
      <c r="B12" s="136">
        <v>9</v>
      </c>
      <c r="C12" s="136">
        <v>32</v>
      </c>
    </row>
    <row r="13" spans="1:6" x14ac:dyDescent="0.3">
      <c r="A13" t="s">
        <v>13</v>
      </c>
      <c r="B13" s="136">
        <v>7</v>
      </c>
      <c r="C13" s="136">
        <v>28</v>
      </c>
    </row>
    <row r="14" spans="1:6" x14ac:dyDescent="0.3">
      <c r="A14" t="s">
        <v>14</v>
      </c>
      <c r="B14" s="136">
        <v>37</v>
      </c>
      <c r="C14" s="136">
        <v>28</v>
      </c>
    </row>
    <row r="15" spans="1:6" x14ac:dyDescent="0.3">
      <c r="A15" t="s">
        <v>15</v>
      </c>
      <c r="B15" s="136">
        <v>47</v>
      </c>
      <c r="C15" s="136">
        <v>28</v>
      </c>
    </row>
    <row r="16" spans="1:6" x14ac:dyDescent="0.3">
      <c r="A16" t="s">
        <v>16</v>
      </c>
      <c r="B16" s="136">
        <v>17</v>
      </c>
      <c r="C16" s="136">
        <v>28</v>
      </c>
    </row>
    <row r="17" spans="1:3" x14ac:dyDescent="0.3">
      <c r="A17" t="s">
        <v>17</v>
      </c>
      <c r="B17" s="136">
        <v>20</v>
      </c>
      <c r="C17" s="136">
        <v>0</v>
      </c>
    </row>
    <row r="18" spans="1:3" x14ac:dyDescent="0.3">
      <c r="A18" t="s">
        <v>18</v>
      </c>
      <c r="B18" s="136">
        <v>10</v>
      </c>
      <c r="C18" s="136">
        <v>0</v>
      </c>
    </row>
    <row r="19" spans="1:3" x14ac:dyDescent="0.3">
      <c r="A19" t="s">
        <v>19</v>
      </c>
      <c r="B19" s="136">
        <v>5</v>
      </c>
      <c r="C19" s="136">
        <v>0</v>
      </c>
    </row>
    <row r="20" spans="1:3" x14ac:dyDescent="0.3">
      <c r="A20" t="s">
        <v>20</v>
      </c>
      <c r="B20" s="136">
        <v>15</v>
      </c>
      <c r="C20" s="136">
        <v>0</v>
      </c>
    </row>
    <row r="21" spans="1:3" x14ac:dyDescent="0.3">
      <c r="A21" t="s">
        <v>21</v>
      </c>
      <c r="B21" s="136">
        <v>2</v>
      </c>
      <c r="C21" s="136">
        <v>52</v>
      </c>
    </row>
    <row r="22" spans="1:3" x14ac:dyDescent="0.3">
      <c r="A22" t="s">
        <v>22</v>
      </c>
      <c r="B22" s="136">
        <v>4</v>
      </c>
      <c r="C22" s="136">
        <v>57</v>
      </c>
    </row>
    <row r="23" spans="1:3" x14ac:dyDescent="0.3">
      <c r="A23" t="s">
        <v>23</v>
      </c>
      <c r="B23" s="136">
        <v>7</v>
      </c>
      <c r="C23" s="136">
        <v>52</v>
      </c>
    </row>
    <row r="24" spans="1:3" x14ac:dyDescent="0.3">
      <c r="A24" t="s">
        <v>24</v>
      </c>
      <c r="B24" s="136">
        <v>29</v>
      </c>
      <c r="C24" s="136">
        <v>96</v>
      </c>
    </row>
    <row r="25" spans="1:3" x14ac:dyDescent="0.3">
      <c r="A25" t="s">
        <v>25</v>
      </c>
      <c r="B25" s="136">
        <v>42</v>
      </c>
      <c r="C25" s="136">
        <v>93</v>
      </c>
    </row>
    <row r="26" spans="1:3" x14ac:dyDescent="0.3">
      <c r="A26" t="s">
        <v>26</v>
      </c>
      <c r="B26" s="136">
        <v>17</v>
      </c>
      <c r="C26" s="136">
        <v>93</v>
      </c>
    </row>
    <row r="27" spans="1:3" x14ac:dyDescent="0.3">
      <c r="A27" t="s">
        <v>27</v>
      </c>
      <c r="B27" s="136">
        <v>12</v>
      </c>
      <c r="C27" s="136">
        <v>93</v>
      </c>
    </row>
    <row r="28" spans="1:3" x14ac:dyDescent="0.3">
      <c r="A28" t="s">
        <v>28</v>
      </c>
      <c r="B28" s="136">
        <v>32</v>
      </c>
      <c r="C28" s="136">
        <v>93</v>
      </c>
    </row>
    <row r="29" spans="1:3" x14ac:dyDescent="0.3">
      <c r="A29" t="s">
        <v>29</v>
      </c>
      <c r="B29" s="136">
        <v>37</v>
      </c>
      <c r="C29" s="136">
        <v>93</v>
      </c>
    </row>
    <row r="30" spans="1:3" x14ac:dyDescent="0.3">
      <c r="A30" t="s">
        <v>30</v>
      </c>
      <c r="B30" s="136">
        <v>22</v>
      </c>
      <c r="C30" s="136">
        <v>93</v>
      </c>
    </row>
    <row r="31" spans="1:3" x14ac:dyDescent="0.3">
      <c r="A31" t="s">
        <v>31</v>
      </c>
      <c r="B31" s="136">
        <v>2</v>
      </c>
      <c r="C31" s="136">
        <v>93</v>
      </c>
    </row>
    <row r="32" spans="1:3" x14ac:dyDescent="0.3">
      <c r="A32" t="s">
        <v>32</v>
      </c>
      <c r="B32" s="136">
        <v>7</v>
      </c>
      <c r="C32" s="136">
        <v>93</v>
      </c>
    </row>
    <row r="33" spans="1:3" x14ac:dyDescent="0.3">
      <c r="A33" t="s">
        <v>33</v>
      </c>
      <c r="B33" s="136">
        <v>27</v>
      </c>
      <c r="C33" s="136">
        <v>93</v>
      </c>
    </row>
    <row r="34" spans="1:3" x14ac:dyDescent="0.3">
      <c r="A34" t="s">
        <v>34</v>
      </c>
      <c r="B34" s="136">
        <v>32</v>
      </c>
      <c r="C34" s="136">
        <v>78</v>
      </c>
    </row>
    <row r="35" spans="1:3" x14ac:dyDescent="0.3">
      <c r="A35" t="s">
        <v>35</v>
      </c>
      <c r="B35" s="136">
        <v>12</v>
      </c>
      <c r="C35" s="136">
        <v>78</v>
      </c>
    </row>
    <row r="36" spans="1:3" x14ac:dyDescent="0.3">
      <c r="A36" t="s">
        <v>36</v>
      </c>
      <c r="B36" s="136">
        <v>17</v>
      </c>
      <c r="C36" s="136">
        <v>78</v>
      </c>
    </row>
    <row r="37" spans="1:3" x14ac:dyDescent="0.3">
      <c r="A37" t="s">
        <v>37</v>
      </c>
      <c r="B37" s="136">
        <v>27</v>
      </c>
      <c r="C37" s="136">
        <v>78</v>
      </c>
    </row>
    <row r="38" spans="1:3" x14ac:dyDescent="0.3">
      <c r="A38" t="s">
        <v>38</v>
      </c>
      <c r="B38" s="136">
        <v>22</v>
      </c>
      <c r="C38" s="136">
        <v>78</v>
      </c>
    </row>
    <row r="39" spans="1:3" x14ac:dyDescent="0.3">
      <c r="A39" t="s">
        <v>39</v>
      </c>
      <c r="B39" s="136">
        <v>2</v>
      </c>
      <c r="C39" s="136">
        <v>78</v>
      </c>
    </row>
    <row r="40" spans="1:3" x14ac:dyDescent="0.3">
      <c r="A40" t="s">
        <v>40</v>
      </c>
      <c r="B40" s="136">
        <v>7</v>
      </c>
      <c r="C40" s="136">
        <v>78</v>
      </c>
    </row>
    <row r="41" spans="1:3" x14ac:dyDescent="0.3">
      <c r="A41" t="s">
        <v>41</v>
      </c>
      <c r="B41" s="136">
        <v>42</v>
      </c>
      <c r="C41" s="136">
        <v>84</v>
      </c>
    </row>
    <row r="42" spans="1:3" x14ac:dyDescent="0.3">
      <c r="A42" t="s">
        <v>42</v>
      </c>
      <c r="B42" s="136">
        <v>37</v>
      </c>
      <c r="C42" s="136">
        <v>84</v>
      </c>
    </row>
    <row r="43" spans="1:3" x14ac:dyDescent="0.3">
      <c r="A43" t="s">
        <v>43</v>
      </c>
      <c r="B43" s="136">
        <v>32</v>
      </c>
      <c r="C43" s="136">
        <v>84</v>
      </c>
    </row>
    <row r="44" spans="1:3" x14ac:dyDescent="0.3">
      <c r="A44" t="s">
        <v>44</v>
      </c>
      <c r="B44" s="136">
        <v>17</v>
      </c>
      <c r="C44" s="136">
        <v>84</v>
      </c>
    </row>
    <row r="45" spans="1:3" x14ac:dyDescent="0.3">
      <c r="A45" t="s">
        <v>45</v>
      </c>
      <c r="B45" s="136">
        <v>7</v>
      </c>
      <c r="C45" s="136">
        <v>84</v>
      </c>
    </row>
    <row r="46" spans="1:3" x14ac:dyDescent="0.3">
      <c r="A46" t="s">
        <v>46</v>
      </c>
      <c r="B46" s="136">
        <v>2</v>
      </c>
      <c r="C46" s="136">
        <v>84</v>
      </c>
    </row>
    <row r="47" spans="1:3" x14ac:dyDescent="0.3">
      <c r="A47" t="s">
        <v>47</v>
      </c>
      <c r="B47" s="136">
        <v>22</v>
      </c>
      <c r="C47" s="136">
        <v>84</v>
      </c>
    </row>
    <row r="48" spans="1:3" x14ac:dyDescent="0.3">
      <c r="A48" t="s">
        <v>48</v>
      </c>
      <c r="B48" s="136">
        <v>12</v>
      </c>
      <c r="C48" s="136">
        <v>84</v>
      </c>
    </row>
    <row r="49" spans="1:3" x14ac:dyDescent="0.3">
      <c r="A49" t="s">
        <v>49</v>
      </c>
      <c r="B49" s="136">
        <v>27</v>
      </c>
      <c r="C49" s="136">
        <v>84</v>
      </c>
    </row>
    <row r="50" spans="1:3" x14ac:dyDescent="0.3">
      <c r="A50" t="s">
        <v>50</v>
      </c>
      <c r="B50" s="136">
        <v>29</v>
      </c>
      <c r="C50" s="136">
        <v>40</v>
      </c>
    </row>
    <row r="51" spans="1:3" x14ac:dyDescent="0.3">
      <c r="A51" t="s">
        <v>51</v>
      </c>
      <c r="B51" s="136">
        <v>2</v>
      </c>
      <c r="C51" s="136">
        <v>37</v>
      </c>
    </row>
    <row r="52" spans="1:3" x14ac:dyDescent="0.3">
      <c r="A52" t="s">
        <v>52</v>
      </c>
      <c r="B52" s="136">
        <v>14</v>
      </c>
      <c r="C52" s="136">
        <v>40</v>
      </c>
    </row>
    <row r="53" spans="1:3" x14ac:dyDescent="0.3">
      <c r="A53" t="s">
        <v>53</v>
      </c>
      <c r="B53" s="136">
        <v>12</v>
      </c>
      <c r="C53" s="136">
        <v>37</v>
      </c>
    </row>
    <row r="54" spans="1:3" x14ac:dyDescent="0.3">
      <c r="A54" t="s">
        <v>54</v>
      </c>
      <c r="B54" s="136">
        <v>7</v>
      </c>
      <c r="C54" s="136">
        <v>37</v>
      </c>
    </row>
    <row r="55" spans="1:3" x14ac:dyDescent="0.3">
      <c r="A55" t="s">
        <v>55</v>
      </c>
      <c r="B55" s="136">
        <v>32</v>
      </c>
      <c r="C55" s="136">
        <v>37</v>
      </c>
    </row>
    <row r="56" spans="1:3" x14ac:dyDescent="0.3">
      <c r="A56" t="s">
        <v>56</v>
      </c>
      <c r="B56" s="136">
        <v>17</v>
      </c>
      <c r="C56" s="136">
        <v>37</v>
      </c>
    </row>
    <row r="57" spans="1:3" x14ac:dyDescent="0.3">
      <c r="A57" t="s">
        <v>57</v>
      </c>
      <c r="B57" s="136">
        <v>27</v>
      </c>
      <c r="C57" s="136">
        <v>37</v>
      </c>
    </row>
    <row r="58" spans="1:3" x14ac:dyDescent="0.3">
      <c r="A58" t="s">
        <v>58</v>
      </c>
      <c r="B58" s="136">
        <v>22</v>
      </c>
      <c r="C58" s="136">
        <v>37</v>
      </c>
    </row>
    <row r="59" spans="1:3" x14ac:dyDescent="0.3">
      <c r="A59" t="s">
        <v>59</v>
      </c>
      <c r="B59" s="136">
        <v>7</v>
      </c>
      <c r="C59" s="136">
        <v>19</v>
      </c>
    </row>
    <row r="60" spans="1:3" x14ac:dyDescent="0.3">
      <c r="A60" t="s">
        <v>60</v>
      </c>
      <c r="B60" s="136">
        <v>22</v>
      </c>
      <c r="C60" s="136">
        <v>19</v>
      </c>
    </row>
    <row r="61" spans="1:3" x14ac:dyDescent="0.3">
      <c r="A61" t="s">
        <v>61</v>
      </c>
      <c r="B61" s="136">
        <v>17</v>
      </c>
      <c r="C61" s="136">
        <v>19</v>
      </c>
    </row>
    <row r="62" spans="1:3" x14ac:dyDescent="0.3">
      <c r="A62" t="s">
        <v>62</v>
      </c>
      <c r="B62" s="136">
        <v>2</v>
      </c>
      <c r="C62" s="136">
        <v>19</v>
      </c>
    </row>
    <row r="63" spans="1:3" x14ac:dyDescent="0.3">
      <c r="A63" t="s">
        <v>63</v>
      </c>
      <c r="B63" s="136">
        <v>12</v>
      </c>
      <c r="C63" s="136">
        <v>19</v>
      </c>
    </row>
    <row r="64" spans="1:3" x14ac:dyDescent="0.3">
      <c r="A64" t="s">
        <v>64</v>
      </c>
      <c r="B64" s="136">
        <v>17</v>
      </c>
      <c r="C64" s="136">
        <v>9</v>
      </c>
    </row>
    <row r="65" spans="1:3" x14ac:dyDescent="0.3">
      <c r="A65" t="s">
        <v>65</v>
      </c>
      <c r="B65" s="136">
        <v>22</v>
      </c>
      <c r="C65" s="136">
        <v>9</v>
      </c>
    </row>
    <row r="66" spans="1:3" x14ac:dyDescent="0.3">
      <c r="A66" t="s">
        <v>66</v>
      </c>
      <c r="B66" s="136">
        <v>32</v>
      </c>
      <c r="C66" s="136">
        <v>9</v>
      </c>
    </row>
    <row r="67" spans="1:3" x14ac:dyDescent="0.3">
      <c r="A67" t="s">
        <v>67</v>
      </c>
      <c r="B67" s="136">
        <v>27</v>
      </c>
      <c r="C67" s="136">
        <v>9</v>
      </c>
    </row>
    <row r="68" spans="1:3" x14ac:dyDescent="0.3">
      <c r="A68" t="s">
        <v>68</v>
      </c>
      <c r="B68" s="136">
        <v>7</v>
      </c>
      <c r="C68" s="136">
        <v>9</v>
      </c>
    </row>
    <row r="69" spans="1:3" x14ac:dyDescent="0.3">
      <c r="A69" t="s">
        <v>69</v>
      </c>
      <c r="B69" s="136">
        <v>12</v>
      </c>
      <c r="C69" s="136">
        <v>9</v>
      </c>
    </row>
    <row r="70" spans="1:3" x14ac:dyDescent="0.3">
      <c r="A70" t="s">
        <v>70</v>
      </c>
      <c r="B70" s="136">
        <v>37</v>
      </c>
      <c r="C70" s="136">
        <v>9</v>
      </c>
    </row>
    <row r="71" spans="1:3" x14ac:dyDescent="0.3">
      <c r="A71" t="s">
        <v>71</v>
      </c>
      <c r="B71" s="136">
        <v>2</v>
      </c>
      <c r="C71" s="136">
        <v>9</v>
      </c>
    </row>
    <row r="72" spans="1:3" x14ac:dyDescent="0.3">
      <c r="A72" t="s">
        <v>72</v>
      </c>
      <c r="B72" s="136">
        <v>27</v>
      </c>
      <c r="C72" s="136">
        <v>46</v>
      </c>
    </row>
    <row r="73" spans="1:3" x14ac:dyDescent="0.3">
      <c r="A73" t="s">
        <v>73</v>
      </c>
      <c r="B73" s="136">
        <v>17</v>
      </c>
      <c r="C73" s="136">
        <v>46</v>
      </c>
    </row>
    <row r="74" spans="1:3" x14ac:dyDescent="0.3">
      <c r="A74" t="s">
        <v>74</v>
      </c>
      <c r="B74" s="136">
        <v>57</v>
      </c>
      <c r="C74" s="136">
        <v>46</v>
      </c>
    </row>
    <row r="75" spans="1:3" x14ac:dyDescent="0.3">
      <c r="A75" t="s">
        <v>75</v>
      </c>
      <c r="B75" s="136">
        <v>7</v>
      </c>
      <c r="C75" s="136">
        <v>46</v>
      </c>
    </row>
    <row r="76" spans="1:3" x14ac:dyDescent="0.3">
      <c r="A76" t="s">
        <v>76</v>
      </c>
      <c r="B76" s="136">
        <v>67</v>
      </c>
      <c r="C76" s="136">
        <v>46</v>
      </c>
    </row>
    <row r="77" spans="1:3" x14ac:dyDescent="0.3">
      <c r="A77" t="s">
        <v>77</v>
      </c>
      <c r="B77" s="136">
        <v>22</v>
      </c>
      <c r="C77" s="136">
        <v>46</v>
      </c>
    </row>
    <row r="78" spans="1:3" x14ac:dyDescent="0.3">
      <c r="A78" t="s">
        <v>78</v>
      </c>
      <c r="B78" s="136">
        <v>47</v>
      </c>
      <c r="C78" s="136">
        <v>46</v>
      </c>
    </row>
    <row r="79" spans="1:3" x14ac:dyDescent="0.3">
      <c r="A79" t="s">
        <v>79</v>
      </c>
      <c r="B79" s="136">
        <v>12</v>
      </c>
      <c r="C79" s="136">
        <v>46</v>
      </c>
    </row>
    <row r="80" spans="1:3" x14ac:dyDescent="0.3">
      <c r="A80" t="s">
        <v>80</v>
      </c>
      <c r="B80" s="136">
        <v>62</v>
      </c>
      <c r="C80" s="136">
        <v>46</v>
      </c>
    </row>
    <row r="81" spans="1:3" x14ac:dyDescent="0.3">
      <c r="A81" t="s">
        <v>81</v>
      </c>
      <c r="B81" s="136">
        <v>37</v>
      </c>
      <c r="C81" s="136">
        <v>46</v>
      </c>
    </row>
    <row r="82" spans="1:3" x14ac:dyDescent="0.3">
      <c r="A82" t="s">
        <v>82</v>
      </c>
      <c r="B82" s="136">
        <v>32</v>
      </c>
      <c r="C82" s="136">
        <v>46</v>
      </c>
    </row>
    <row r="83" spans="1:3" x14ac:dyDescent="0.3">
      <c r="A83" t="s">
        <v>83</v>
      </c>
      <c r="B83" s="136">
        <v>2</v>
      </c>
      <c r="C83" s="136">
        <v>46</v>
      </c>
    </row>
    <row r="84" spans="1:3" x14ac:dyDescent="0.3">
      <c r="A84" t="s">
        <v>84</v>
      </c>
      <c r="B84" s="136">
        <v>42</v>
      </c>
      <c r="C84" s="136">
        <v>46</v>
      </c>
    </row>
    <row r="85" spans="1:3" x14ac:dyDescent="0.3">
      <c r="A85" t="s">
        <v>85</v>
      </c>
      <c r="B85" s="136">
        <v>72</v>
      </c>
      <c r="C85" s="136">
        <v>46</v>
      </c>
    </row>
    <row r="86" spans="1:3" x14ac:dyDescent="0.3">
      <c r="A86" t="s">
        <v>86</v>
      </c>
      <c r="B86" s="136">
        <v>52</v>
      </c>
      <c r="C86" s="136">
        <v>46</v>
      </c>
    </row>
    <row r="87" spans="1:3" x14ac:dyDescent="0.3">
      <c r="A87" t="s">
        <v>87</v>
      </c>
      <c r="B87" s="136">
        <v>24</v>
      </c>
      <c r="C87" s="136">
        <v>67</v>
      </c>
    </row>
    <row r="88" spans="1:3" x14ac:dyDescent="0.3">
      <c r="A88" t="s">
        <v>88</v>
      </c>
      <c r="B88" s="136">
        <v>7</v>
      </c>
      <c r="C88" s="136">
        <v>62</v>
      </c>
    </row>
    <row r="89" spans="1:3" x14ac:dyDescent="0.3">
      <c r="A89" t="s">
        <v>89</v>
      </c>
      <c r="B89" s="136">
        <v>2</v>
      </c>
      <c r="C89" s="136">
        <v>62</v>
      </c>
    </row>
    <row r="90" spans="1:3" x14ac:dyDescent="0.3">
      <c r="A90" t="s">
        <v>90</v>
      </c>
      <c r="B90" s="136">
        <v>17</v>
      </c>
      <c r="C90" s="136">
        <v>62</v>
      </c>
    </row>
    <row r="91" spans="1:3" x14ac:dyDescent="0.3">
      <c r="A91" t="s">
        <v>91</v>
      </c>
      <c r="B91" s="136">
        <v>12</v>
      </c>
      <c r="C91" s="136">
        <v>62</v>
      </c>
    </row>
    <row r="92" spans="1:3" x14ac:dyDescent="0.3">
      <c r="A92" t="s">
        <v>92</v>
      </c>
      <c r="B92" s="136">
        <v>21</v>
      </c>
      <c r="C92" s="136">
        <v>71</v>
      </c>
    </row>
    <row r="93" spans="1:3" x14ac:dyDescent="0.3">
      <c r="A93" t="s">
        <v>93</v>
      </c>
      <c r="B93" s="136">
        <v>16</v>
      </c>
      <c r="C93" s="136">
        <v>71</v>
      </c>
    </row>
    <row r="94" spans="1:3" x14ac:dyDescent="0.3">
      <c r="A94" t="s">
        <v>94</v>
      </c>
      <c r="B94" s="136">
        <v>19</v>
      </c>
      <c r="C94" s="136">
        <v>67</v>
      </c>
    </row>
    <row r="95" spans="1:3" x14ac:dyDescent="0.3">
      <c r="A95" t="s">
        <v>95</v>
      </c>
      <c r="B95" s="136">
        <v>26</v>
      </c>
      <c r="C95" s="136">
        <v>71</v>
      </c>
    </row>
    <row r="96" spans="1:3" x14ac:dyDescent="0.3">
      <c r="A96" t="s">
        <v>96</v>
      </c>
      <c r="B96" s="136">
        <v>14</v>
      </c>
      <c r="C96" s="136">
        <v>67</v>
      </c>
    </row>
    <row r="97" spans="1:3" x14ac:dyDescent="0.3">
      <c r="A97" t="s">
        <v>97</v>
      </c>
      <c r="B97" s="136">
        <v>9</v>
      </c>
      <c r="C97" s="136">
        <v>67</v>
      </c>
    </row>
    <row r="98" spans="1:3" x14ac:dyDescent="0.3">
      <c r="A98" t="s">
        <v>98</v>
      </c>
      <c r="B98" s="136">
        <v>11</v>
      </c>
      <c r="C98" s="136">
        <v>71</v>
      </c>
    </row>
    <row r="99" spans="1:3" x14ac:dyDescent="0.3">
      <c r="B99" s="136"/>
      <c r="C99" s="136"/>
    </row>
    <row r="100" spans="1:3" x14ac:dyDescent="0.3">
      <c r="B100" s="136"/>
      <c r="C100" s="136"/>
    </row>
    <row r="101" spans="1:3" x14ac:dyDescent="0.3">
      <c r="B101" s="136"/>
      <c r="C101" s="136"/>
    </row>
    <row r="102" spans="1:3" x14ac:dyDescent="0.3">
      <c r="B102" s="136"/>
      <c r="C102" s="136"/>
    </row>
    <row r="103" spans="1:3" x14ac:dyDescent="0.3">
      <c r="B103" s="136"/>
      <c r="C103" s="136"/>
    </row>
    <row r="104" spans="1:3" x14ac:dyDescent="0.3">
      <c r="B104" s="136"/>
      <c r="C104" s="136"/>
    </row>
    <row r="105" spans="1:3" x14ac:dyDescent="0.3">
      <c r="B105" s="136"/>
      <c r="C105" s="136"/>
    </row>
    <row r="106" spans="1:3" x14ac:dyDescent="0.3">
      <c r="B106" s="136"/>
      <c r="C106" s="136"/>
    </row>
    <row r="107" spans="1:3" x14ac:dyDescent="0.3">
      <c r="B107" s="136"/>
      <c r="C107" s="136"/>
    </row>
    <row r="108" spans="1:3" x14ac:dyDescent="0.3">
      <c r="B108" s="136"/>
      <c r="C108" s="136"/>
    </row>
    <row r="109" spans="1:3" x14ac:dyDescent="0.3">
      <c r="B109" s="136"/>
      <c r="C109" s="136"/>
    </row>
    <row r="110" spans="1:3" x14ac:dyDescent="0.3">
      <c r="B110" s="136"/>
      <c r="C110" s="136"/>
    </row>
    <row r="111" spans="1:3" x14ac:dyDescent="0.3">
      <c r="B111" s="136"/>
      <c r="C111" s="136"/>
    </row>
    <row r="112" spans="1:3" x14ac:dyDescent="0.3">
      <c r="B112" s="136"/>
      <c r="C112" s="136"/>
    </row>
    <row r="113" spans="2:3" x14ac:dyDescent="0.3">
      <c r="B113" s="136"/>
      <c r="C113" s="136"/>
    </row>
    <row r="114" spans="2:3" x14ac:dyDescent="0.3">
      <c r="B114" s="136"/>
      <c r="C114" s="136"/>
    </row>
    <row r="115" spans="2:3" x14ac:dyDescent="0.3">
      <c r="B115" s="136"/>
      <c r="C115" s="136"/>
    </row>
    <row r="116" spans="2:3" x14ac:dyDescent="0.3">
      <c r="B116" s="136"/>
      <c r="C116" s="136"/>
    </row>
    <row r="117" spans="2:3" x14ac:dyDescent="0.3">
      <c r="B117" s="136"/>
      <c r="C117" s="136"/>
    </row>
    <row r="118" spans="2:3" x14ac:dyDescent="0.3">
      <c r="B118" s="136"/>
      <c r="C118" s="136"/>
    </row>
    <row r="119" spans="2:3" x14ac:dyDescent="0.3">
      <c r="B119" s="136"/>
      <c r="C119" s="136"/>
    </row>
    <row r="120" spans="2:3" x14ac:dyDescent="0.3">
      <c r="B120" s="136"/>
      <c r="C120" s="136"/>
    </row>
    <row r="121" spans="2:3" x14ac:dyDescent="0.3">
      <c r="B121" s="136"/>
      <c r="C121" s="136"/>
    </row>
    <row r="122" spans="2:3" x14ac:dyDescent="0.3">
      <c r="B122" s="136"/>
      <c r="C122" s="136"/>
    </row>
    <row r="123" spans="2:3" x14ac:dyDescent="0.3">
      <c r="B123" s="136"/>
      <c r="C123" s="136"/>
    </row>
    <row r="124" spans="2:3" x14ac:dyDescent="0.3">
      <c r="B124" s="136"/>
      <c r="C124" s="136"/>
    </row>
    <row r="125" spans="2:3" x14ac:dyDescent="0.3">
      <c r="B125" s="136"/>
      <c r="C125" s="136"/>
    </row>
    <row r="126" spans="2:3" x14ac:dyDescent="0.3">
      <c r="B126" s="136"/>
      <c r="C126" s="1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E4714-0D62-4B3A-B16E-DF6A08199254}">
  <dimension ref="A1:J126"/>
  <sheetViews>
    <sheetView zoomScale="89" zoomScaleNormal="89" workbookViewId="0">
      <selection activeCell="K11" sqref="K11"/>
    </sheetView>
  </sheetViews>
  <sheetFormatPr defaultColWidth="8.77734375" defaultRowHeight="14.4" x14ac:dyDescent="0.3"/>
  <cols>
    <col min="1" max="1" width="8.109375" style="3" bestFit="1" customWidth="1"/>
    <col min="2" max="2" width="7.44140625" style="3" bestFit="1" customWidth="1"/>
    <col min="3" max="3" width="10.44140625" style="3" bestFit="1" customWidth="1"/>
    <col min="4" max="4" width="9.77734375" style="3" bestFit="1" customWidth="1"/>
    <col min="5" max="5" width="10.109375" style="3" bestFit="1" customWidth="1"/>
    <col min="6" max="6" width="7.44140625" style="3" bestFit="1" customWidth="1"/>
    <col min="7" max="8" width="11.44140625" style="3" bestFit="1" customWidth="1"/>
    <col min="9" max="9" width="22.44140625" style="3" bestFit="1" customWidth="1"/>
  </cols>
  <sheetData>
    <row r="1" spans="1:10" x14ac:dyDescent="0.3">
      <c r="A1" s="19" t="s">
        <v>305</v>
      </c>
      <c r="B1" s="35" t="s">
        <v>306</v>
      </c>
      <c r="C1" s="36" t="s">
        <v>307</v>
      </c>
      <c r="D1" s="37" t="s">
        <v>360</v>
      </c>
      <c r="E1" s="19" t="s">
        <v>362</v>
      </c>
      <c r="F1" s="19" t="s">
        <v>448</v>
      </c>
      <c r="G1" s="32" t="s">
        <v>489</v>
      </c>
      <c r="H1" s="32" t="s">
        <v>490</v>
      </c>
      <c r="I1" s="19" t="s">
        <v>464</v>
      </c>
      <c r="J1" s="19" t="s">
        <v>575</v>
      </c>
    </row>
    <row r="2" spans="1:10" x14ac:dyDescent="0.3">
      <c r="A2" s="3" t="s">
        <v>0</v>
      </c>
      <c r="B2" s="136">
        <v>132</v>
      </c>
      <c r="C2" s="3" t="s">
        <v>1</v>
      </c>
      <c r="D2" s="3">
        <v>0.95</v>
      </c>
      <c r="E2" s="3">
        <v>1.05</v>
      </c>
      <c r="G2" s="136">
        <v>0.5</v>
      </c>
      <c r="H2" s="136">
        <v>2</v>
      </c>
      <c r="I2" s="3" t="s">
        <v>465</v>
      </c>
    </row>
    <row r="3" spans="1:10" x14ac:dyDescent="0.3">
      <c r="A3" s="3" t="s">
        <v>2</v>
      </c>
      <c r="B3" s="136">
        <v>15</v>
      </c>
      <c r="C3" s="3" t="s">
        <v>3</v>
      </c>
      <c r="D3" s="3">
        <v>0.95</v>
      </c>
      <c r="E3" s="3">
        <v>1.05</v>
      </c>
      <c r="G3" s="136">
        <v>0.5</v>
      </c>
      <c r="H3" s="136">
        <v>2</v>
      </c>
      <c r="I3" s="3" t="s">
        <v>466</v>
      </c>
    </row>
    <row r="4" spans="1:10" x14ac:dyDescent="0.3">
      <c r="A4" s="3" t="s">
        <v>4</v>
      </c>
      <c r="B4" s="136">
        <v>15</v>
      </c>
      <c r="C4" s="3" t="s">
        <v>3</v>
      </c>
      <c r="D4" s="3">
        <v>0.95</v>
      </c>
      <c r="E4" s="3">
        <v>1.05</v>
      </c>
      <c r="F4" s="3" t="s">
        <v>450</v>
      </c>
      <c r="G4" s="136">
        <v>0.5</v>
      </c>
      <c r="H4" s="136">
        <v>2</v>
      </c>
      <c r="I4" s="3" t="s">
        <v>466</v>
      </c>
      <c r="J4" t="s">
        <v>576</v>
      </c>
    </row>
    <row r="5" spans="1:10" x14ac:dyDescent="0.3">
      <c r="A5" s="3" t="s">
        <v>5</v>
      </c>
      <c r="B5" s="136">
        <v>15</v>
      </c>
      <c r="C5" s="3" t="s">
        <v>3</v>
      </c>
      <c r="D5" s="3">
        <v>0.95</v>
      </c>
      <c r="E5" s="3">
        <v>1.05</v>
      </c>
      <c r="F5" s="3" t="s">
        <v>450</v>
      </c>
      <c r="G5" s="136">
        <v>0.5</v>
      </c>
      <c r="H5" s="136">
        <v>2</v>
      </c>
      <c r="I5" s="3" t="s">
        <v>466</v>
      </c>
      <c r="J5" t="s">
        <v>576</v>
      </c>
    </row>
    <row r="6" spans="1:10" x14ac:dyDescent="0.3">
      <c r="A6" s="3" t="s">
        <v>6</v>
      </c>
      <c r="B6" s="136">
        <v>15</v>
      </c>
      <c r="C6" s="3" t="s">
        <v>3</v>
      </c>
      <c r="D6" s="3">
        <v>0.95</v>
      </c>
      <c r="E6" s="3">
        <v>1.05</v>
      </c>
      <c r="F6" s="3" t="s">
        <v>450</v>
      </c>
      <c r="G6" s="136">
        <v>0.5</v>
      </c>
      <c r="H6" s="136">
        <v>2</v>
      </c>
      <c r="I6" s="3" t="s">
        <v>466</v>
      </c>
      <c r="J6" t="s">
        <v>577</v>
      </c>
    </row>
    <row r="7" spans="1:10" x14ac:dyDescent="0.3">
      <c r="A7" s="3" t="s">
        <v>7</v>
      </c>
      <c r="B7" s="136">
        <v>15</v>
      </c>
      <c r="C7" s="3" t="s">
        <v>3</v>
      </c>
      <c r="D7" s="3">
        <v>0.95</v>
      </c>
      <c r="E7" s="3">
        <v>1.05</v>
      </c>
      <c r="F7" s="3" t="s">
        <v>450</v>
      </c>
      <c r="G7" s="136">
        <v>0.5</v>
      </c>
      <c r="H7" s="136">
        <v>2</v>
      </c>
      <c r="I7" s="3" t="s">
        <v>466</v>
      </c>
      <c r="J7" t="s">
        <v>577</v>
      </c>
    </row>
    <row r="8" spans="1:10" x14ac:dyDescent="0.3">
      <c r="A8" s="3" t="s">
        <v>8</v>
      </c>
      <c r="B8" s="136">
        <v>15</v>
      </c>
      <c r="C8" s="3" t="s">
        <v>3</v>
      </c>
      <c r="D8" s="3">
        <v>0.95</v>
      </c>
      <c r="E8" s="3">
        <v>1.05</v>
      </c>
      <c r="F8" s="3" t="s">
        <v>450</v>
      </c>
      <c r="G8" s="136">
        <v>0.5</v>
      </c>
      <c r="H8" s="136">
        <v>2</v>
      </c>
      <c r="I8" s="3" t="s">
        <v>466</v>
      </c>
      <c r="J8" t="s">
        <v>577</v>
      </c>
    </row>
    <row r="9" spans="1:10" x14ac:dyDescent="0.3">
      <c r="A9" s="3" t="s">
        <v>9</v>
      </c>
      <c r="B9" s="136">
        <v>15</v>
      </c>
      <c r="C9" s="3" t="s">
        <v>3</v>
      </c>
      <c r="D9" s="3">
        <v>0.95</v>
      </c>
      <c r="E9" s="3">
        <v>1.05</v>
      </c>
      <c r="F9" s="3" t="s">
        <v>450</v>
      </c>
      <c r="G9" s="136">
        <v>0.5</v>
      </c>
      <c r="H9" s="136">
        <v>2</v>
      </c>
      <c r="I9" s="3" t="s">
        <v>466</v>
      </c>
      <c r="J9" t="s">
        <v>576</v>
      </c>
    </row>
    <row r="10" spans="1:10" x14ac:dyDescent="0.3">
      <c r="A10" s="3" t="s">
        <v>10</v>
      </c>
      <c r="B10" s="136">
        <v>15</v>
      </c>
      <c r="C10" s="3" t="s">
        <v>3</v>
      </c>
      <c r="D10" s="3">
        <v>0.95</v>
      </c>
      <c r="E10" s="3">
        <v>1.05</v>
      </c>
      <c r="F10" s="3" t="s">
        <v>450</v>
      </c>
      <c r="G10" s="136">
        <v>0.5</v>
      </c>
      <c r="H10" s="136">
        <v>2</v>
      </c>
      <c r="I10" s="3" t="s">
        <v>466</v>
      </c>
      <c r="J10" t="s">
        <v>577</v>
      </c>
    </row>
    <row r="11" spans="1:10" x14ac:dyDescent="0.3">
      <c r="A11" s="3" t="s">
        <v>11</v>
      </c>
      <c r="B11" s="136">
        <v>15</v>
      </c>
      <c r="C11" s="3" t="s">
        <v>3</v>
      </c>
      <c r="D11" s="3">
        <v>0.95</v>
      </c>
      <c r="E11" s="3">
        <v>1.05</v>
      </c>
      <c r="F11" s="3" t="s">
        <v>450</v>
      </c>
      <c r="G11" s="136">
        <v>0.5</v>
      </c>
      <c r="H11" s="136">
        <v>2</v>
      </c>
      <c r="I11" s="3" t="s">
        <v>466</v>
      </c>
      <c r="J11" t="s">
        <v>577</v>
      </c>
    </row>
    <row r="12" spans="1:10" x14ac:dyDescent="0.3">
      <c r="A12" s="3" t="s">
        <v>12</v>
      </c>
      <c r="B12" s="136">
        <v>15</v>
      </c>
      <c r="C12" s="3" t="s">
        <v>3</v>
      </c>
      <c r="D12" s="3">
        <v>0.95</v>
      </c>
      <c r="E12" s="3">
        <v>1.05</v>
      </c>
      <c r="F12" s="3" t="s">
        <v>450</v>
      </c>
      <c r="G12" s="136">
        <v>0.5</v>
      </c>
      <c r="H12" s="136">
        <v>2</v>
      </c>
      <c r="I12" s="3" t="s">
        <v>466</v>
      </c>
      <c r="J12" t="s">
        <v>577</v>
      </c>
    </row>
    <row r="13" spans="1:10" x14ac:dyDescent="0.3">
      <c r="A13" s="3" t="s">
        <v>13</v>
      </c>
      <c r="B13" s="136">
        <v>15</v>
      </c>
      <c r="C13" s="3" t="s">
        <v>3</v>
      </c>
      <c r="D13" s="3">
        <v>0.95</v>
      </c>
      <c r="E13" s="3">
        <v>1.05</v>
      </c>
      <c r="F13" s="3" t="s">
        <v>450</v>
      </c>
      <c r="G13" s="136">
        <v>0.5</v>
      </c>
      <c r="H13" s="136">
        <v>2</v>
      </c>
      <c r="I13" s="3" t="s">
        <v>466</v>
      </c>
      <c r="J13" t="s">
        <v>576</v>
      </c>
    </row>
    <row r="14" spans="1:10" x14ac:dyDescent="0.3">
      <c r="A14" s="3" t="s">
        <v>14</v>
      </c>
      <c r="B14" s="136">
        <v>15</v>
      </c>
      <c r="C14" s="3" t="s">
        <v>3</v>
      </c>
      <c r="D14" s="3">
        <v>0.95</v>
      </c>
      <c r="E14" s="3">
        <v>1.05</v>
      </c>
      <c r="F14" s="3" t="s">
        <v>450</v>
      </c>
      <c r="G14" s="136">
        <v>0.5</v>
      </c>
      <c r="H14" s="136">
        <v>2</v>
      </c>
      <c r="I14" s="3" t="s">
        <v>466</v>
      </c>
      <c r="J14" t="s">
        <v>576</v>
      </c>
    </row>
    <row r="15" spans="1:10" x14ac:dyDescent="0.3">
      <c r="A15" s="3" t="s">
        <v>15</v>
      </c>
      <c r="B15" s="136">
        <v>15</v>
      </c>
      <c r="C15" s="3" t="s">
        <v>3</v>
      </c>
      <c r="D15" s="3">
        <v>0.95</v>
      </c>
      <c r="E15" s="3">
        <v>1.05</v>
      </c>
      <c r="F15" s="3" t="s">
        <v>450</v>
      </c>
      <c r="G15" s="136">
        <v>0.5</v>
      </c>
      <c r="H15" s="136">
        <v>2</v>
      </c>
      <c r="I15" s="3" t="s">
        <v>466</v>
      </c>
      <c r="J15" t="s">
        <v>577</v>
      </c>
    </row>
    <row r="16" spans="1:10" x14ac:dyDescent="0.3">
      <c r="A16" s="3" t="s">
        <v>16</v>
      </c>
      <c r="B16" s="136">
        <v>15</v>
      </c>
      <c r="C16" s="3" t="s">
        <v>3</v>
      </c>
      <c r="D16" s="3">
        <v>0.95</v>
      </c>
      <c r="E16" s="3">
        <v>1.05</v>
      </c>
      <c r="F16" s="3" t="s">
        <v>450</v>
      </c>
      <c r="G16" s="136">
        <v>0.5</v>
      </c>
      <c r="H16" s="136">
        <v>2</v>
      </c>
      <c r="I16" s="3" t="s">
        <v>466</v>
      </c>
      <c r="J16" t="s">
        <v>577</v>
      </c>
    </row>
    <row r="17" spans="1:10" x14ac:dyDescent="0.3">
      <c r="A17" s="3" t="s">
        <v>17</v>
      </c>
      <c r="B17" s="136">
        <v>15</v>
      </c>
      <c r="C17" s="3" t="s">
        <v>3</v>
      </c>
      <c r="D17" s="3">
        <v>0.95</v>
      </c>
      <c r="E17" s="3">
        <v>1.05</v>
      </c>
      <c r="F17" s="3" t="s">
        <v>458</v>
      </c>
      <c r="G17" s="136">
        <v>0.5</v>
      </c>
      <c r="H17" s="136">
        <v>2</v>
      </c>
      <c r="I17" s="3" t="s">
        <v>466</v>
      </c>
      <c r="J17" t="s">
        <v>577</v>
      </c>
    </row>
    <row r="18" spans="1:10" x14ac:dyDescent="0.3">
      <c r="A18" s="3" t="s">
        <v>18</v>
      </c>
      <c r="B18" s="136">
        <v>15</v>
      </c>
      <c r="C18" s="3" t="s">
        <v>3</v>
      </c>
      <c r="D18" s="3">
        <v>0.95</v>
      </c>
      <c r="E18" s="3">
        <v>1.05</v>
      </c>
      <c r="F18" s="3" t="s">
        <v>458</v>
      </c>
      <c r="G18" s="136">
        <v>0.5</v>
      </c>
      <c r="H18" s="136">
        <v>2</v>
      </c>
      <c r="I18" s="3" t="s">
        <v>466</v>
      </c>
      <c r="J18" t="s">
        <v>577</v>
      </c>
    </row>
    <row r="19" spans="1:10" x14ac:dyDescent="0.3">
      <c r="A19" s="3" t="s">
        <v>19</v>
      </c>
      <c r="B19" s="136">
        <v>15</v>
      </c>
      <c r="C19" s="3" t="s">
        <v>3</v>
      </c>
      <c r="D19" s="3">
        <v>0.95</v>
      </c>
      <c r="E19" s="3">
        <v>1.05</v>
      </c>
      <c r="F19" s="3" t="s">
        <v>458</v>
      </c>
      <c r="G19" s="136">
        <v>0.5</v>
      </c>
      <c r="H19" s="136">
        <v>2</v>
      </c>
      <c r="I19" s="3" t="s">
        <v>466</v>
      </c>
      <c r="J19" t="s">
        <v>577</v>
      </c>
    </row>
    <row r="20" spans="1:10" x14ac:dyDescent="0.3">
      <c r="A20" s="3" t="s">
        <v>20</v>
      </c>
      <c r="B20" s="136">
        <v>15</v>
      </c>
      <c r="C20" s="3" t="s">
        <v>3</v>
      </c>
      <c r="D20" s="3">
        <v>0.95</v>
      </c>
      <c r="E20" s="3">
        <v>1.05</v>
      </c>
      <c r="F20" s="3" t="s">
        <v>458</v>
      </c>
      <c r="G20" s="136">
        <v>0.5</v>
      </c>
      <c r="H20" s="136">
        <v>2</v>
      </c>
      <c r="I20" s="3" t="s">
        <v>466</v>
      </c>
      <c r="J20" t="s">
        <v>577</v>
      </c>
    </row>
    <row r="21" spans="1:10" x14ac:dyDescent="0.3">
      <c r="A21" s="3" t="s">
        <v>21</v>
      </c>
      <c r="B21" s="136">
        <v>15</v>
      </c>
      <c r="C21" s="3" t="s">
        <v>3</v>
      </c>
      <c r="D21" s="3">
        <v>0.95</v>
      </c>
      <c r="E21" s="3">
        <v>1.05</v>
      </c>
      <c r="F21" s="3" t="s">
        <v>459</v>
      </c>
      <c r="G21" s="136">
        <v>0.5</v>
      </c>
      <c r="H21" s="136">
        <v>2</v>
      </c>
      <c r="I21" s="3" t="s">
        <v>466</v>
      </c>
      <c r="J21" t="s">
        <v>577</v>
      </c>
    </row>
    <row r="22" spans="1:10" x14ac:dyDescent="0.3">
      <c r="A22" s="3" t="s">
        <v>22</v>
      </c>
      <c r="B22" s="136">
        <v>15</v>
      </c>
      <c r="C22" s="3" t="s">
        <v>3</v>
      </c>
      <c r="D22" s="3">
        <v>0.95</v>
      </c>
      <c r="E22" s="3">
        <v>1.05</v>
      </c>
      <c r="F22" s="3" t="s">
        <v>459</v>
      </c>
      <c r="G22" s="136">
        <v>0.5</v>
      </c>
      <c r="H22" s="136">
        <v>2</v>
      </c>
      <c r="I22" s="3" t="s">
        <v>466</v>
      </c>
      <c r="J22" t="s">
        <v>576</v>
      </c>
    </row>
    <row r="23" spans="1:10" x14ac:dyDescent="0.3">
      <c r="A23" s="3" t="s">
        <v>23</v>
      </c>
      <c r="B23" s="136">
        <v>15</v>
      </c>
      <c r="C23" s="3" t="s">
        <v>3</v>
      </c>
      <c r="D23" s="3">
        <v>0.95</v>
      </c>
      <c r="E23" s="3">
        <v>1.05</v>
      </c>
      <c r="F23" s="3" t="s">
        <v>459</v>
      </c>
      <c r="G23" s="136">
        <v>0.5</v>
      </c>
      <c r="H23" s="136">
        <v>2</v>
      </c>
      <c r="I23" s="3" t="s">
        <v>466</v>
      </c>
      <c r="J23" t="s">
        <v>577</v>
      </c>
    </row>
    <row r="24" spans="1:10" x14ac:dyDescent="0.3">
      <c r="A24" s="3" t="s">
        <v>24</v>
      </c>
      <c r="B24" s="136">
        <v>15</v>
      </c>
      <c r="C24" s="3" t="s">
        <v>3</v>
      </c>
      <c r="D24" s="3">
        <v>0.95</v>
      </c>
      <c r="E24" s="3">
        <v>1.05</v>
      </c>
      <c r="F24" s="3" t="s">
        <v>452</v>
      </c>
      <c r="G24" s="136">
        <v>0.5</v>
      </c>
      <c r="H24" s="136">
        <v>2</v>
      </c>
      <c r="I24" s="3" t="s">
        <v>466</v>
      </c>
      <c r="J24" t="s">
        <v>576</v>
      </c>
    </row>
    <row r="25" spans="1:10" x14ac:dyDescent="0.3">
      <c r="A25" s="3" t="s">
        <v>25</v>
      </c>
      <c r="B25" s="136">
        <v>15</v>
      </c>
      <c r="C25" s="3" t="s">
        <v>3</v>
      </c>
      <c r="D25" s="3">
        <v>0.95</v>
      </c>
      <c r="E25" s="3">
        <v>1.05</v>
      </c>
      <c r="F25" s="3" t="s">
        <v>452</v>
      </c>
      <c r="G25" s="136">
        <v>0.5</v>
      </c>
      <c r="H25" s="136">
        <v>2</v>
      </c>
      <c r="I25" s="3" t="s">
        <v>466</v>
      </c>
      <c r="J25" t="s">
        <v>577</v>
      </c>
    </row>
    <row r="26" spans="1:10" x14ac:dyDescent="0.3">
      <c r="A26" s="3" t="s">
        <v>26</v>
      </c>
      <c r="B26" s="136">
        <v>15</v>
      </c>
      <c r="C26" s="3" t="s">
        <v>3</v>
      </c>
      <c r="D26" s="3">
        <v>0.95</v>
      </c>
      <c r="E26" s="3">
        <v>1.05</v>
      </c>
      <c r="F26" s="3" t="s">
        <v>452</v>
      </c>
      <c r="G26" s="136">
        <v>0.5</v>
      </c>
      <c r="H26" s="136">
        <v>2</v>
      </c>
      <c r="I26" s="3" t="s">
        <v>466</v>
      </c>
      <c r="J26" t="s">
        <v>577</v>
      </c>
    </row>
    <row r="27" spans="1:10" x14ac:dyDescent="0.3">
      <c r="A27" s="3" t="s">
        <v>27</v>
      </c>
      <c r="B27" s="136">
        <v>15</v>
      </c>
      <c r="C27" s="3" t="s">
        <v>3</v>
      </c>
      <c r="D27" s="3">
        <v>0.95</v>
      </c>
      <c r="E27" s="3">
        <v>1.05</v>
      </c>
      <c r="F27" s="3" t="s">
        <v>452</v>
      </c>
      <c r="G27" s="136">
        <v>0.5</v>
      </c>
      <c r="H27" s="136">
        <v>2</v>
      </c>
      <c r="I27" s="3" t="s">
        <v>466</v>
      </c>
      <c r="J27" t="s">
        <v>577</v>
      </c>
    </row>
    <row r="28" spans="1:10" x14ac:dyDescent="0.3">
      <c r="A28" s="3" t="s">
        <v>28</v>
      </c>
      <c r="B28" s="136">
        <v>15</v>
      </c>
      <c r="C28" s="3" t="s">
        <v>3</v>
      </c>
      <c r="D28" s="3">
        <v>0.95</v>
      </c>
      <c r="E28" s="3">
        <v>1.05</v>
      </c>
      <c r="F28" s="3" t="s">
        <v>452</v>
      </c>
      <c r="G28" s="136">
        <v>0.5</v>
      </c>
      <c r="H28" s="136">
        <v>2</v>
      </c>
      <c r="I28" s="3" t="s">
        <v>466</v>
      </c>
      <c r="J28" t="s">
        <v>577</v>
      </c>
    </row>
    <row r="29" spans="1:10" x14ac:dyDescent="0.3">
      <c r="A29" s="3" t="s">
        <v>29</v>
      </c>
      <c r="B29" s="136">
        <v>15</v>
      </c>
      <c r="C29" s="3" t="s">
        <v>3</v>
      </c>
      <c r="D29" s="3">
        <v>0.95</v>
      </c>
      <c r="E29" s="3">
        <v>1.05</v>
      </c>
      <c r="F29" s="3" t="s">
        <v>452</v>
      </c>
      <c r="G29" s="136">
        <v>0.5</v>
      </c>
      <c r="H29" s="136">
        <v>2</v>
      </c>
      <c r="I29" s="3" t="s">
        <v>466</v>
      </c>
      <c r="J29" t="s">
        <v>577</v>
      </c>
    </row>
    <row r="30" spans="1:10" x14ac:dyDescent="0.3">
      <c r="A30" s="3" t="s">
        <v>30</v>
      </c>
      <c r="B30" s="136">
        <v>15</v>
      </c>
      <c r="C30" s="3" t="s">
        <v>3</v>
      </c>
      <c r="D30" s="3">
        <v>0.95</v>
      </c>
      <c r="E30" s="3">
        <v>1.05</v>
      </c>
      <c r="F30" s="3" t="s">
        <v>452</v>
      </c>
      <c r="G30" s="136">
        <v>0.5</v>
      </c>
      <c r="H30" s="136">
        <v>2</v>
      </c>
      <c r="I30" s="3" t="s">
        <v>466</v>
      </c>
      <c r="J30" t="s">
        <v>577</v>
      </c>
    </row>
    <row r="31" spans="1:10" x14ac:dyDescent="0.3">
      <c r="A31" s="3" t="s">
        <v>31</v>
      </c>
      <c r="B31" s="136">
        <v>15</v>
      </c>
      <c r="C31" s="3" t="s">
        <v>3</v>
      </c>
      <c r="D31" s="3">
        <v>0.95</v>
      </c>
      <c r="E31" s="3">
        <v>1.05</v>
      </c>
      <c r="F31" s="3" t="s">
        <v>452</v>
      </c>
      <c r="G31" s="136">
        <v>0.5</v>
      </c>
      <c r="H31" s="136">
        <v>2</v>
      </c>
      <c r="I31" s="3" t="s">
        <v>466</v>
      </c>
      <c r="J31" t="s">
        <v>577</v>
      </c>
    </row>
    <row r="32" spans="1:10" x14ac:dyDescent="0.3">
      <c r="A32" s="3" t="s">
        <v>32</v>
      </c>
      <c r="B32" s="136">
        <v>15</v>
      </c>
      <c r="C32" s="3" t="s">
        <v>3</v>
      </c>
      <c r="D32" s="3">
        <v>0.95</v>
      </c>
      <c r="E32" s="3">
        <v>1.05</v>
      </c>
      <c r="F32" s="3" t="s">
        <v>452</v>
      </c>
      <c r="G32" s="136">
        <v>0.5</v>
      </c>
      <c r="H32" s="136">
        <v>2</v>
      </c>
      <c r="I32" s="3" t="s">
        <v>466</v>
      </c>
      <c r="J32" t="s">
        <v>577</v>
      </c>
    </row>
    <row r="33" spans="1:10" x14ac:dyDescent="0.3">
      <c r="A33" s="3" t="s">
        <v>33</v>
      </c>
      <c r="B33" s="136">
        <v>15</v>
      </c>
      <c r="C33" s="3" t="s">
        <v>3</v>
      </c>
      <c r="D33" s="3">
        <v>0.95</v>
      </c>
      <c r="E33" s="3">
        <v>1.05</v>
      </c>
      <c r="F33" s="3" t="s">
        <v>452</v>
      </c>
      <c r="G33" s="136">
        <v>0.5</v>
      </c>
      <c r="H33" s="136">
        <v>2</v>
      </c>
      <c r="I33" s="3" t="s">
        <v>466</v>
      </c>
      <c r="J33" t="s">
        <v>577</v>
      </c>
    </row>
    <row r="34" spans="1:10" x14ac:dyDescent="0.3">
      <c r="A34" s="3" t="s">
        <v>34</v>
      </c>
      <c r="B34" s="136">
        <v>15</v>
      </c>
      <c r="C34" s="3" t="s">
        <v>3</v>
      </c>
      <c r="D34" s="3">
        <v>0.95</v>
      </c>
      <c r="E34" s="3">
        <v>1.05</v>
      </c>
      <c r="F34" s="3" t="s">
        <v>455</v>
      </c>
      <c r="G34" s="136">
        <v>0.5</v>
      </c>
      <c r="H34" s="136">
        <v>2</v>
      </c>
      <c r="I34" s="3" t="s">
        <v>466</v>
      </c>
      <c r="J34" t="s">
        <v>577</v>
      </c>
    </row>
    <row r="35" spans="1:10" x14ac:dyDescent="0.3">
      <c r="A35" s="3" t="s">
        <v>35</v>
      </c>
      <c r="B35" s="136">
        <v>15</v>
      </c>
      <c r="C35" s="3" t="s">
        <v>3</v>
      </c>
      <c r="D35" s="3">
        <v>0.95</v>
      </c>
      <c r="E35" s="3">
        <v>1.05</v>
      </c>
      <c r="F35" s="3" t="s">
        <v>455</v>
      </c>
      <c r="G35" s="136">
        <v>0.5</v>
      </c>
      <c r="H35" s="136">
        <v>2</v>
      </c>
      <c r="I35" s="3" t="s">
        <v>466</v>
      </c>
      <c r="J35" t="s">
        <v>577</v>
      </c>
    </row>
    <row r="36" spans="1:10" x14ac:dyDescent="0.3">
      <c r="A36" s="3" t="s">
        <v>36</v>
      </c>
      <c r="B36" s="136">
        <v>15</v>
      </c>
      <c r="C36" s="3" t="s">
        <v>3</v>
      </c>
      <c r="D36" s="3">
        <v>0.95</v>
      </c>
      <c r="E36" s="3">
        <v>1.05</v>
      </c>
      <c r="F36" s="3" t="s">
        <v>455</v>
      </c>
      <c r="G36" s="136">
        <v>0.5</v>
      </c>
      <c r="H36" s="136">
        <v>2</v>
      </c>
      <c r="I36" s="3" t="s">
        <v>466</v>
      </c>
      <c r="J36" t="s">
        <v>577</v>
      </c>
    </row>
    <row r="37" spans="1:10" x14ac:dyDescent="0.3">
      <c r="A37" s="3" t="s">
        <v>37</v>
      </c>
      <c r="B37" s="136">
        <v>15</v>
      </c>
      <c r="C37" s="3" t="s">
        <v>3</v>
      </c>
      <c r="D37" s="3">
        <v>0.95</v>
      </c>
      <c r="E37" s="3">
        <v>1.05</v>
      </c>
      <c r="F37" s="3" t="s">
        <v>455</v>
      </c>
      <c r="G37" s="136">
        <v>0.5</v>
      </c>
      <c r="H37" s="136">
        <v>2</v>
      </c>
      <c r="I37" s="3" t="s">
        <v>466</v>
      </c>
      <c r="J37" t="s">
        <v>577</v>
      </c>
    </row>
    <row r="38" spans="1:10" x14ac:dyDescent="0.3">
      <c r="A38" s="3" t="s">
        <v>38</v>
      </c>
      <c r="B38" s="136">
        <v>15</v>
      </c>
      <c r="C38" s="3" t="s">
        <v>3</v>
      </c>
      <c r="D38" s="3">
        <v>0.95</v>
      </c>
      <c r="E38" s="3">
        <v>1.05</v>
      </c>
      <c r="F38" s="3" t="s">
        <v>455</v>
      </c>
      <c r="G38" s="136">
        <v>0.5</v>
      </c>
      <c r="H38" s="136">
        <v>2</v>
      </c>
      <c r="I38" s="3" t="s">
        <v>466</v>
      </c>
      <c r="J38" t="s">
        <v>577</v>
      </c>
    </row>
    <row r="39" spans="1:10" x14ac:dyDescent="0.3">
      <c r="A39" s="3" t="s">
        <v>39</v>
      </c>
      <c r="B39" s="136">
        <v>15</v>
      </c>
      <c r="C39" s="3" t="s">
        <v>3</v>
      </c>
      <c r="D39" s="3">
        <v>0.95</v>
      </c>
      <c r="E39" s="3">
        <v>1.05</v>
      </c>
      <c r="F39" s="3" t="s">
        <v>455</v>
      </c>
      <c r="G39" s="136">
        <v>0.5</v>
      </c>
      <c r="H39" s="136">
        <v>2</v>
      </c>
      <c r="I39" s="3" t="s">
        <v>466</v>
      </c>
      <c r="J39" t="s">
        <v>577</v>
      </c>
    </row>
    <row r="40" spans="1:10" x14ac:dyDescent="0.3">
      <c r="A40" s="3" t="s">
        <v>40</v>
      </c>
      <c r="B40" s="136">
        <v>15</v>
      </c>
      <c r="C40" s="3" t="s">
        <v>3</v>
      </c>
      <c r="D40" s="3">
        <v>0.95</v>
      </c>
      <c r="E40" s="3">
        <v>1.05</v>
      </c>
      <c r="F40" s="3" t="s">
        <v>455</v>
      </c>
      <c r="G40" s="136">
        <v>0.5</v>
      </c>
      <c r="H40" s="136">
        <v>2</v>
      </c>
      <c r="I40" s="3" t="s">
        <v>466</v>
      </c>
      <c r="J40" t="s">
        <v>577</v>
      </c>
    </row>
    <row r="41" spans="1:10" x14ac:dyDescent="0.3">
      <c r="A41" s="3" t="s">
        <v>41</v>
      </c>
      <c r="B41" s="136">
        <v>15</v>
      </c>
      <c r="C41" s="3" t="s">
        <v>3</v>
      </c>
      <c r="D41" s="3">
        <v>0.95</v>
      </c>
      <c r="E41" s="3">
        <v>1.05</v>
      </c>
      <c r="F41" s="3" t="s">
        <v>457</v>
      </c>
      <c r="G41" s="136">
        <v>0.5</v>
      </c>
      <c r="H41" s="136">
        <v>2</v>
      </c>
      <c r="I41" s="3" t="s">
        <v>466</v>
      </c>
      <c r="J41" t="s">
        <v>576</v>
      </c>
    </row>
    <row r="42" spans="1:10" x14ac:dyDescent="0.3">
      <c r="A42" s="3" t="s">
        <v>42</v>
      </c>
      <c r="B42" s="136">
        <v>15</v>
      </c>
      <c r="C42" s="3" t="s">
        <v>3</v>
      </c>
      <c r="D42" s="3">
        <v>0.95</v>
      </c>
      <c r="E42" s="3">
        <v>1.05</v>
      </c>
      <c r="F42" s="3" t="s">
        <v>457</v>
      </c>
      <c r="G42" s="136">
        <v>0.5</v>
      </c>
      <c r="H42" s="136">
        <v>2</v>
      </c>
      <c r="I42" s="3" t="s">
        <v>466</v>
      </c>
      <c r="J42" t="s">
        <v>577</v>
      </c>
    </row>
    <row r="43" spans="1:10" x14ac:dyDescent="0.3">
      <c r="A43" s="3" t="s">
        <v>43</v>
      </c>
      <c r="B43" s="136">
        <v>15</v>
      </c>
      <c r="C43" s="3" t="s">
        <v>3</v>
      </c>
      <c r="D43" s="3">
        <v>0.95</v>
      </c>
      <c r="E43" s="3">
        <v>1.05</v>
      </c>
      <c r="F43" s="3" t="s">
        <v>457</v>
      </c>
      <c r="G43" s="136">
        <v>0.5</v>
      </c>
      <c r="H43" s="136">
        <v>2</v>
      </c>
      <c r="I43" s="3" t="s">
        <v>466</v>
      </c>
      <c r="J43" t="s">
        <v>577</v>
      </c>
    </row>
    <row r="44" spans="1:10" x14ac:dyDescent="0.3">
      <c r="A44" s="3" t="s">
        <v>44</v>
      </c>
      <c r="B44" s="136">
        <v>15</v>
      </c>
      <c r="C44" s="3" t="s">
        <v>3</v>
      </c>
      <c r="D44" s="3">
        <v>0.95</v>
      </c>
      <c r="E44" s="3">
        <v>1.05</v>
      </c>
      <c r="F44" s="3" t="s">
        <v>457</v>
      </c>
      <c r="G44" s="136">
        <v>0.5</v>
      </c>
      <c r="H44" s="136">
        <v>2</v>
      </c>
      <c r="I44" s="3" t="s">
        <v>466</v>
      </c>
      <c r="J44" t="s">
        <v>577</v>
      </c>
    </row>
    <row r="45" spans="1:10" x14ac:dyDescent="0.3">
      <c r="A45" s="3" t="s">
        <v>45</v>
      </c>
      <c r="B45" s="136">
        <v>15</v>
      </c>
      <c r="C45" s="3" t="s">
        <v>3</v>
      </c>
      <c r="D45" s="3">
        <v>0.95</v>
      </c>
      <c r="E45" s="3">
        <v>1.05</v>
      </c>
      <c r="F45" s="3" t="s">
        <v>457</v>
      </c>
      <c r="G45" s="136">
        <v>0.5</v>
      </c>
      <c r="H45" s="136">
        <v>2</v>
      </c>
      <c r="I45" s="3" t="s">
        <v>466</v>
      </c>
      <c r="J45" t="s">
        <v>577</v>
      </c>
    </row>
    <row r="46" spans="1:10" x14ac:dyDescent="0.3">
      <c r="A46" s="3" t="s">
        <v>46</v>
      </c>
      <c r="B46" s="136">
        <v>15</v>
      </c>
      <c r="C46" s="3" t="s">
        <v>3</v>
      </c>
      <c r="D46" s="3">
        <v>0.95</v>
      </c>
      <c r="E46" s="3">
        <v>1.05</v>
      </c>
      <c r="F46" s="3" t="s">
        <v>457</v>
      </c>
      <c r="G46" s="136">
        <v>0.5</v>
      </c>
      <c r="H46" s="136">
        <v>2</v>
      </c>
      <c r="I46" s="3" t="s">
        <v>466</v>
      </c>
      <c r="J46" t="s">
        <v>577</v>
      </c>
    </row>
    <row r="47" spans="1:10" x14ac:dyDescent="0.3">
      <c r="A47" s="3" t="s">
        <v>47</v>
      </c>
      <c r="B47" s="136">
        <v>15</v>
      </c>
      <c r="C47" s="3" t="s">
        <v>3</v>
      </c>
      <c r="D47" s="3">
        <v>0.95</v>
      </c>
      <c r="E47" s="3">
        <v>1.05</v>
      </c>
      <c r="F47" s="3" t="s">
        <v>457</v>
      </c>
      <c r="G47" s="136">
        <v>0.5</v>
      </c>
      <c r="H47" s="136">
        <v>2</v>
      </c>
      <c r="I47" s="3" t="s">
        <v>466</v>
      </c>
      <c r="J47" t="s">
        <v>577</v>
      </c>
    </row>
    <row r="48" spans="1:10" x14ac:dyDescent="0.3">
      <c r="A48" s="3" t="s">
        <v>48</v>
      </c>
      <c r="B48" s="136">
        <v>15</v>
      </c>
      <c r="C48" s="3" t="s">
        <v>3</v>
      </c>
      <c r="D48" s="3">
        <v>0.95</v>
      </c>
      <c r="E48" s="3">
        <v>1.05</v>
      </c>
      <c r="F48" s="3" t="s">
        <v>457</v>
      </c>
      <c r="G48" s="136">
        <v>0.5</v>
      </c>
      <c r="H48" s="136">
        <v>2</v>
      </c>
      <c r="I48" s="3" t="s">
        <v>466</v>
      </c>
      <c r="J48" t="s">
        <v>577</v>
      </c>
    </row>
    <row r="49" spans="1:10" x14ac:dyDescent="0.3">
      <c r="A49" s="3" t="s">
        <v>49</v>
      </c>
      <c r="B49" s="136">
        <v>15</v>
      </c>
      <c r="C49" s="3" t="s">
        <v>3</v>
      </c>
      <c r="D49" s="3">
        <v>0.95</v>
      </c>
      <c r="E49" s="3">
        <v>1.05</v>
      </c>
      <c r="F49" s="3" t="s">
        <v>457</v>
      </c>
      <c r="G49" s="136">
        <v>0.5</v>
      </c>
      <c r="H49" s="136">
        <v>2</v>
      </c>
      <c r="I49" s="3" t="s">
        <v>466</v>
      </c>
      <c r="J49" t="s">
        <v>576</v>
      </c>
    </row>
    <row r="50" spans="1:10" x14ac:dyDescent="0.3">
      <c r="A50" s="3" t="s">
        <v>50</v>
      </c>
      <c r="B50" s="136">
        <v>15</v>
      </c>
      <c r="C50" s="3" t="s">
        <v>3</v>
      </c>
      <c r="D50" s="3">
        <v>0.95</v>
      </c>
      <c r="E50" s="3">
        <v>1.05</v>
      </c>
      <c r="F50" s="3" t="s">
        <v>454</v>
      </c>
      <c r="G50" s="136">
        <v>0.5</v>
      </c>
      <c r="H50" s="136">
        <v>2</v>
      </c>
      <c r="I50" s="3" t="s">
        <v>466</v>
      </c>
      <c r="J50" t="s">
        <v>576</v>
      </c>
    </row>
    <row r="51" spans="1:10" x14ac:dyDescent="0.3">
      <c r="A51" s="3" t="s">
        <v>51</v>
      </c>
      <c r="B51" s="136">
        <v>15</v>
      </c>
      <c r="C51" s="3" t="s">
        <v>3</v>
      </c>
      <c r="D51" s="3">
        <v>0.95</v>
      </c>
      <c r="E51" s="3">
        <v>1.05</v>
      </c>
      <c r="F51" s="3" t="s">
        <v>454</v>
      </c>
      <c r="G51" s="136">
        <v>0.5</v>
      </c>
      <c r="H51" s="136">
        <v>2</v>
      </c>
      <c r="I51" s="3" t="s">
        <v>466</v>
      </c>
      <c r="J51" t="s">
        <v>577</v>
      </c>
    </row>
    <row r="52" spans="1:10" x14ac:dyDescent="0.3">
      <c r="A52" s="3" t="s">
        <v>52</v>
      </c>
      <c r="B52" s="136">
        <v>15</v>
      </c>
      <c r="C52" s="3" t="s">
        <v>3</v>
      </c>
      <c r="D52" s="3">
        <v>0.95</v>
      </c>
      <c r="E52" s="3">
        <v>1.05</v>
      </c>
      <c r="F52" s="3" t="s">
        <v>454</v>
      </c>
      <c r="G52" s="136">
        <v>0.5</v>
      </c>
      <c r="H52" s="136">
        <v>2</v>
      </c>
      <c r="I52" s="3" t="s">
        <v>466</v>
      </c>
      <c r="J52" t="s">
        <v>576</v>
      </c>
    </row>
    <row r="53" spans="1:10" x14ac:dyDescent="0.3">
      <c r="A53" s="3" t="s">
        <v>53</v>
      </c>
      <c r="B53" s="136">
        <v>15</v>
      </c>
      <c r="C53" s="3" t="s">
        <v>3</v>
      </c>
      <c r="D53" s="3">
        <v>0.95</v>
      </c>
      <c r="E53" s="3">
        <v>1.05</v>
      </c>
      <c r="F53" s="3" t="s">
        <v>454</v>
      </c>
      <c r="G53" s="136">
        <v>0.5</v>
      </c>
      <c r="H53" s="136">
        <v>2</v>
      </c>
      <c r="I53" s="3" t="s">
        <v>466</v>
      </c>
      <c r="J53" t="s">
        <v>577</v>
      </c>
    </row>
    <row r="54" spans="1:10" x14ac:dyDescent="0.3">
      <c r="A54" s="3" t="s">
        <v>54</v>
      </c>
      <c r="B54" s="136">
        <v>15</v>
      </c>
      <c r="C54" s="3" t="s">
        <v>3</v>
      </c>
      <c r="D54" s="3">
        <v>0.95</v>
      </c>
      <c r="E54" s="3">
        <v>1.05</v>
      </c>
      <c r="F54" s="3" t="s">
        <v>454</v>
      </c>
      <c r="G54" s="136">
        <v>0.5</v>
      </c>
      <c r="H54" s="136">
        <v>2</v>
      </c>
      <c r="I54" s="3" t="s">
        <v>466</v>
      </c>
      <c r="J54" t="s">
        <v>577</v>
      </c>
    </row>
    <row r="55" spans="1:10" x14ac:dyDescent="0.3">
      <c r="A55" s="3" t="s">
        <v>55</v>
      </c>
      <c r="B55" s="136">
        <v>15</v>
      </c>
      <c r="C55" s="3" t="s">
        <v>3</v>
      </c>
      <c r="D55" s="3">
        <v>0.95</v>
      </c>
      <c r="E55" s="3">
        <v>1.05</v>
      </c>
      <c r="F55" s="3" t="s">
        <v>454</v>
      </c>
      <c r="G55" s="136">
        <v>0.5</v>
      </c>
      <c r="H55" s="136">
        <v>2</v>
      </c>
      <c r="I55" s="3" t="s">
        <v>466</v>
      </c>
      <c r="J55" t="s">
        <v>577</v>
      </c>
    </row>
    <row r="56" spans="1:10" x14ac:dyDescent="0.3">
      <c r="A56" s="3" t="s">
        <v>56</v>
      </c>
      <c r="B56" s="136">
        <v>15</v>
      </c>
      <c r="C56" s="3" t="s">
        <v>3</v>
      </c>
      <c r="D56" s="3">
        <v>0.95</v>
      </c>
      <c r="E56" s="3">
        <v>1.05</v>
      </c>
      <c r="F56" s="3" t="s">
        <v>454</v>
      </c>
      <c r="G56" s="136">
        <v>0.5</v>
      </c>
      <c r="H56" s="136">
        <v>2</v>
      </c>
      <c r="I56" s="3" t="s">
        <v>466</v>
      </c>
      <c r="J56" t="s">
        <v>577</v>
      </c>
    </row>
    <row r="57" spans="1:10" x14ac:dyDescent="0.3">
      <c r="A57" s="3" t="s">
        <v>57</v>
      </c>
      <c r="B57" s="136">
        <v>15</v>
      </c>
      <c r="C57" s="3" t="s">
        <v>3</v>
      </c>
      <c r="D57" s="3">
        <v>0.95</v>
      </c>
      <c r="E57" s="3">
        <v>1.05</v>
      </c>
      <c r="F57" s="3" t="s">
        <v>454</v>
      </c>
      <c r="G57" s="136">
        <v>0.5</v>
      </c>
      <c r="H57" s="136">
        <v>2</v>
      </c>
      <c r="I57" s="3" t="s">
        <v>466</v>
      </c>
      <c r="J57" t="s">
        <v>577</v>
      </c>
    </row>
    <row r="58" spans="1:10" x14ac:dyDescent="0.3">
      <c r="A58" s="3" t="s">
        <v>58</v>
      </c>
      <c r="B58" s="136">
        <v>15</v>
      </c>
      <c r="C58" s="3" t="s">
        <v>3</v>
      </c>
      <c r="D58" s="3">
        <v>0.95</v>
      </c>
      <c r="E58" s="3">
        <v>1.05</v>
      </c>
      <c r="F58" s="3" t="s">
        <v>454</v>
      </c>
      <c r="G58" s="136">
        <v>0.5</v>
      </c>
      <c r="H58" s="136">
        <v>2</v>
      </c>
      <c r="I58" s="3" t="s">
        <v>466</v>
      </c>
      <c r="J58" t="s">
        <v>577</v>
      </c>
    </row>
    <row r="59" spans="1:10" x14ac:dyDescent="0.3">
      <c r="A59" s="3" t="s">
        <v>59</v>
      </c>
      <c r="B59" s="136">
        <v>15</v>
      </c>
      <c r="C59" s="3" t="s">
        <v>3</v>
      </c>
      <c r="D59" s="3">
        <v>0.95</v>
      </c>
      <c r="E59" s="3">
        <v>1.05</v>
      </c>
      <c r="F59" s="3" t="s">
        <v>453</v>
      </c>
      <c r="G59" s="136">
        <v>0.5</v>
      </c>
      <c r="H59" s="136">
        <v>2</v>
      </c>
      <c r="I59" s="3" t="s">
        <v>466</v>
      </c>
      <c r="J59" t="s">
        <v>577</v>
      </c>
    </row>
    <row r="60" spans="1:10" x14ac:dyDescent="0.3">
      <c r="A60" s="3" t="s">
        <v>60</v>
      </c>
      <c r="B60" s="136">
        <v>15</v>
      </c>
      <c r="C60" s="3" t="s">
        <v>3</v>
      </c>
      <c r="D60" s="3">
        <v>0.95</v>
      </c>
      <c r="E60" s="3">
        <v>1.05</v>
      </c>
      <c r="F60" s="3" t="s">
        <v>453</v>
      </c>
      <c r="G60" s="136">
        <v>0.5</v>
      </c>
      <c r="H60" s="136">
        <v>2</v>
      </c>
      <c r="I60" s="3" t="s">
        <v>466</v>
      </c>
      <c r="J60" t="s">
        <v>577</v>
      </c>
    </row>
    <row r="61" spans="1:10" x14ac:dyDescent="0.3">
      <c r="A61" s="3" t="s">
        <v>61</v>
      </c>
      <c r="B61" s="136">
        <v>15</v>
      </c>
      <c r="C61" s="3" t="s">
        <v>3</v>
      </c>
      <c r="D61" s="3">
        <v>0.95</v>
      </c>
      <c r="E61" s="3">
        <v>1.05</v>
      </c>
      <c r="F61" s="3" t="s">
        <v>453</v>
      </c>
      <c r="G61" s="136">
        <v>0.5</v>
      </c>
      <c r="H61" s="136">
        <v>2</v>
      </c>
      <c r="I61" s="3" t="s">
        <v>466</v>
      </c>
      <c r="J61" t="s">
        <v>577</v>
      </c>
    </row>
    <row r="62" spans="1:10" x14ac:dyDescent="0.3">
      <c r="A62" s="3" t="s">
        <v>62</v>
      </c>
      <c r="B62" s="136">
        <v>15</v>
      </c>
      <c r="C62" s="3" t="s">
        <v>3</v>
      </c>
      <c r="D62" s="3">
        <v>0.95</v>
      </c>
      <c r="E62" s="3">
        <v>1.05</v>
      </c>
      <c r="F62" s="3" t="s">
        <v>453</v>
      </c>
      <c r="G62" s="136">
        <v>0.5</v>
      </c>
      <c r="H62" s="136">
        <v>2</v>
      </c>
      <c r="I62" s="3" t="s">
        <v>466</v>
      </c>
      <c r="J62" t="s">
        <v>577</v>
      </c>
    </row>
    <row r="63" spans="1:10" x14ac:dyDescent="0.3">
      <c r="A63" s="3" t="s">
        <v>63</v>
      </c>
      <c r="B63" s="136">
        <v>15</v>
      </c>
      <c r="C63" s="3" t="s">
        <v>3</v>
      </c>
      <c r="D63" s="3">
        <v>0.95</v>
      </c>
      <c r="E63" s="3">
        <v>1.05</v>
      </c>
      <c r="F63" s="3" t="s">
        <v>453</v>
      </c>
      <c r="G63" s="136">
        <v>0.5</v>
      </c>
      <c r="H63" s="136">
        <v>2</v>
      </c>
      <c r="I63" s="3" t="s">
        <v>466</v>
      </c>
      <c r="J63" t="s">
        <v>577</v>
      </c>
    </row>
    <row r="64" spans="1:10" x14ac:dyDescent="0.3">
      <c r="A64" s="3" t="s">
        <v>64</v>
      </c>
      <c r="B64" s="136">
        <v>15</v>
      </c>
      <c r="C64" s="3" t="s">
        <v>3</v>
      </c>
      <c r="D64" s="3">
        <v>0.95</v>
      </c>
      <c r="E64" s="3">
        <v>1.05</v>
      </c>
      <c r="F64" s="3" t="s">
        <v>449</v>
      </c>
      <c r="G64" s="136">
        <v>0.5</v>
      </c>
      <c r="H64" s="136">
        <v>2</v>
      </c>
      <c r="I64" s="3" t="s">
        <v>466</v>
      </c>
      <c r="J64" t="s">
        <v>577</v>
      </c>
    </row>
    <row r="65" spans="1:10" x14ac:dyDescent="0.3">
      <c r="A65" s="3" t="s">
        <v>65</v>
      </c>
      <c r="B65" s="136">
        <v>15</v>
      </c>
      <c r="C65" s="3" t="s">
        <v>3</v>
      </c>
      <c r="D65" s="3">
        <v>0.95</v>
      </c>
      <c r="E65" s="3">
        <v>1.05</v>
      </c>
      <c r="F65" s="3" t="s">
        <v>449</v>
      </c>
      <c r="G65" s="136">
        <v>0.5</v>
      </c>
      <c r="H65" s="136">
        <v>2</v>
      </c>
      <c r="I65" s="3" t="s">
        <v>466</v>
      </c>
      <c r="J65" t="s">
        <v>577</v>
      </c>
    </row>
    <row r="66" spans="1:10" x14ac:dyDescent="0.3">
      <c r="A66" s="3" t="s">
        <v>66</v>
      </c>
      <c r="B66" s="136">
        <v>15</v>
      </c>
      <c r="C66" s="3" t="s">
        <v>3</v>
      </c>
      <c r="D66" s="3">
        <v>0.95</v>
      </c>
      <c r="E66" s="3">
        <v>1.05</v>
      </c>
      <c r="F66" s="3" t="s">
        <v>449</v>
      </c>
      <c r="G66" s="136">
        <v>0.5</v>
      </c>
      <c r="H66" s="136">
        <v>2</v>
      </c>
      <c r="I66" s="3" t="s">
        <v>466</v>
      </c>
      <c r="J66" t="s">
        <v>577</v>
      </c>
    </row>
    <row r="67" spans="1:10" x14ac:dyDescent="0.3">
      <c r="A67" s="3" t="s">
        <v>67</v>
      </c>
      <c r="B67" s="136">
        <v>15</v>
      </c>
      <c r="C67" s="3" t="s">
        <v>3</v>
      </c>
      <c r="D67" s="3">
        <v>0.95</v>
      </c>
      <c r="E67" s="3">
        <v>1.05</v>
      </c>
      <c r="F67" s="3" t="s">
        <v>449</v>
      </c>
      <c r="G67" s="136">
        <v>0.5</v>
      </c>
      <c r="H67" s="136">
        <v>2</v>
      </c>
      <c r="I67" s="3" t="s">
        <v>466</v>
      </c>
      <c r="J67" t="s">
        <v>577</v>
      </c>
    </row>
    <row r="68" spans="1:10" x14ac:dyDescent="0.3">
      <c r="A68" s="3" t="s">
        <v>68</v>
      </c>
      <c r="B68" s="136">
        <v>15</v>
      </c>
      <c r="C68" s="3" t="s">
        <v>3</v>
      </c>
      <c r="D68" s="3">
        <v>0.95</v>
      </c>
      <c r="E68" s="3">
        <v>1.05</v>
      </c>
      <c r="F68" s="3" t="s">
        <v>449</v>
      </c>
      <c r="G68" s="136">
        <v>0.5</v>
      </c>
      <c r="H68" s="136">
        <v>2</v>
      </c>
      <c r="I68" s="3" t="s">
        <v>466</v>
      </c>
      <c r="J68" t="s">
        <v>577</v>
      </c>
    </row>
    <row r="69" spans="1:10" x14ac:dyDescent="0.3">
      <c r="A69" s="3" t="s">
        <v>69</v>
      </c>
      <c r="B69" s="136">
        <v>15</v>
      </c>
      <c r="C69" s="3" t="s">
        <v>3</v>
      </c>
      <c r="D69" s="3">
        <v>0.95</v>
      </c>
      <c r="E69" s="3">
        <v>1.05</v>
      </c>
      <c r="F69" s="3" t="s">
        <v>449</v>
      </c>
      <c r="G69" s="136">
        <v>0.5</v>
      </c>
      <c r="H69" s="136">
        <v>2</v>
      </c>
      <c r="I69" s="3" t="s">
        <v>466</v>
      </c>
      <c r="J69" t="s">
        <v>577</v>
      </c>
    </row>
    <row r="70" spans="1:10" x14ac:dyDescent="0.3">
      <c r="A70" s="3" t="s">
        <v>70</v>
      </c>
      <c r="B70" s="136">
        <v>15</v>
      </c>
      <c r="C70" s="3" t="s">
        <v>3</v>
      </c>
      <c r="D70" s="3">
        <v>0.95</v>
      </c>
      <c r="E70" s="3">
        <v>1.05</v>
      </c>
      <c r="F70" s="3" t="s">
        <v>449</v>
      </c>
      <c r="G70" s="136">
        <v>0.5</v>
      </c>
      <c r="H70" s="136">
        <v>2</v>
      </c>
      <c r="I70" s="3" t="s">
        <v>466</v>
      </c>
      <c r="J70" t="s">
        <v>577</v>
      </c>
    </row>
    <row r="71" spans="1:10" x14ac:dyDescent="0.3">
      <c r="A71" s="3" t="s">
        <v>71</v>
      </c>
      <c r="B71" s="136">
        <v>15</v>
      </c>
      <c r="C71" s="3" t="s">
        <v>3</v>
      </c>
      <c r="D71" s="3">
        <v>0.95</v>
      </c>
      <c r="E71" s="3">
        <v>1.05</v>
      </c>
      <c r="F71" s="3" t="s">
        <v>449</v>
      </c>
      <c r="G71" s="136">
        <v>0.5</v>
      </c>
      <c r="H71" s="136">
        <v>2</v>
      </c>
      <c r="I71" s="3" t="s">
        <v>466</v>
      </c>
      <c r="J71" t="s">
        <v>577</v>
      </c>
    </row>
    <row r="72" spans="1:10" x14ac:dyDescent="0.3">
      <c r="A72" s="3" t="s">
        <v>72</v>
      </c>
      <c r="B72" s="136">
        <v>15</v>
      </c>
      <c r="C72" s="3" t="s">
        <v>3</v>
      </c>
      <c r="D72" s="3">
        <v>0.95</v>
      </c>
      <c r="E72" s="3">
        <v>1.05</v>
      </c>
      <c r="F72" s="3" t="s">
        <v>451</v>
      </c>
      <c r="G72" s="136">
        <v>0.5</v>
      </c>
      <c r="H72" s="136">
        <v>2</v>
      </c>
      <c r="I72" s="3" t="s">
        <v>466</v>
      </c>
      <c r="J72" t="s">
        <v>577</v>
      </c>
    </row>
    <row r="73" spans="1:10" x14ac:dyDescent="0.3">
      <c r="A73" s="3" t="s">
        <v>73</v>
      </c>
      <c r="B73" s="136">
        <v>15</v>
      </c>
      <c r="C73" s="3" t="s">
        <v>3</v>
      </c>
      <c r="D73" s="3">
        <v>0.95</v>
      </c>
      <c r="E73" s="3">
        <v>1.05</v>
      </c>
      <c r="F73" s="3" t="s">
        <v>451</v>
      </c>
      <c r="G73" s="136">
        <v>0.5</v>
      </c>
      <c r="H73" s="136">
        <v>2</v>
      </c>
      <c r="I73" s="3" t="s">
        <v>466</v>
      </c>
      <c r="J73" t="s">
        <v>577</v>
      </c>
    </row>
    <row r="74" spans="1:10" x14ac:dyDescent="0.3">
      <c r="A74" s="3" t="s">
        <v>74</v>
      </c>
      <c r="B74" s="136">
        <v>15</v>
      </c>
      <c r="C74" s="3" t="s">
        <v>3</v>
      </c>
      <c r="D74" s="3">
        <v>0.95</v>
      </c>
      <c r="E74" s="3">
        <v>1.05</v>
      </c>
      <c r="F74" s="3" t="s">
        <v>451</v>
      </c>
      <c r="G74" s="136">
        <v>0.5</v>
      </c>
      <c r="H74" s="136">
        <v>2</v>
      </c>
      <c r="I74" s="3" t="s">
        <v>466</v>
      </c>
      <c r="J74" t="s">
        <v>577</v>
      </c>
    </row>
    <row r="75" spans="1:10" x14ac:dyDescent="0.3">
      <c r="A75" s="3" t="s">
        <v>75</v>
      </c>
      <c r="B75" s="136">
        <v>15</v>
      </c>
      <c r="C75" s="3" t="s">
        <v>3</v>
      </c>
      <c r="D75" s="3">
        <v>0.95</v>
      </c>
      <c r="E75" s="3">
        <v>1.05</v>
      </c>
      <c r="F75" s="3" t="s">
        <v>451</v>
      </c>
      <c r="G75" s="136">
        <v>0.5</v>
      </c>
      <c r="H75" s="136">
        <v>2</v>
      </c>
      <c r="I75" s="3" t="s">
        <v>466</v>
      </c>
      <c r="J75" t="s">
        <v>577</v>
      </c>
    </row>
    <row r="76" spans="1:10" x14ac:dyDescent="0.3">
      <c r="A76" s="3" t="s">
        <v>76</v>
      </c>
      <c r="B76" s="136">
        <v>15</v>
      </c>
      <c r="C76" s="3" t="s">
        <v>3</v>
      </c>
      <c r="D76" s="3">
        <v>0.95</v>
      </c>
      <c r="E76" s="3">
        <v>1.05</v>
      </c>
      <c r="F76" s="3" t="s">
        <v>451</v>
      </c>
      <c r="G76" s="136">
        <v>0.5</v>
      </c>
      <c r="H76" s="136">
        <v>2</v>
      </c>
      <c r="I76" s="3" t="s">
        <v>466</v>
      </c>
      <c r="J76" t="s">
        <v>577</v>
      </c>
    </row>
    <row r="77" spans="1:10" x14ac:dyDescent="0.3">
      <c r="A77" s="3" t="s">
        <v>77</v>
      </c>
      <c r="B77" s="136">
        <v>15</v>
      </c>
      <c r="C77" s="3" t="s">
        <v>3</v>
      </c>
      <c r="D77" s="3">
        <v>0.95</v>
      </c>
      <c r="E77" s="3">
        <v>1.05</v>
      </c>
      <c r="F77" s="3" t="s">
        <v>451</v>
      </c>
      <c r="G77" s="136">
        <v>0.5</v>
      </c>
      <c r="H77" s="136">
        <v>2</v>
      </c>
      <c r="I77" s="3" t="s">
        <v>466</v>
      </c>
      <c r="J77" t="s">
        <v>577</v>
      </c>
    </row>
    <row r="78" spans="1:10" x14ac:dyDescent="0.3">
      <c r="A78" s="3" t="s">
        <v>78</v>
      </c>
      <c r="B78" s="136">
        <v>15</v>
      </c>
      <c r="C78" s="3" t="s">
        <v>3</v>
      </c>
      <c r="D78" s="3">
        <v>0.95</v>
      </c>
      <c r="E78" s="3">
        <v>1.05</v>
      </c>
      <c r="F78" s="3" t="s">
        <v>451</v>
      </c>
      <c r="G78" s="136">
        <v>0.5</v>
      </c>
      <c r="H78" s="136">
        <v>2</v>
      </c>
      <c r="I78" s="3" t="s">
        <v>466</v>
      </c>
      <c r="J78" t="s">
        <v>577</v>
      </c>
    </row>
    <row r="79" spans="1:10" x14ac:dyDescent="0.3">
      <c r="A79" s="3" t="s">
        <v>79</v>
      </c>
      <c r="B79" s="136">
        <v>15</v>
      </c>
      <c r="C79" s="3" t="s">
        <v>3</v>
      </c>
      <c r="D79" s="3">
        <v>0.95</v>
      </c>
      <c r="E79" s="3">
        <v>1.05</v>
      </c>
      <c r="F79" s="3" t="s">
        <v>451</v>
      </c>
      <c r="G79" s="136">
        <v>0.5</v>
      </c>
      <c r="H79" s="136">
        <v>2</v>
      </c>
      <c r="I79" s="3" t="s">
        <v>466</v>
      </c>
      <c r="J79" t="s">
        <v>577</v>
      </c>
    </row>
    <row r="80" spans="1:10" x14ac:dyDescent="0.3">
      <c r="A80" s="3" t="s">
        <v>80</v>
      </c>
      <c r="B80" s="136">
        <v>15</v>
      </c>
      <c r="C80" s="3" t="s">
        <v>3</v>
      </c>
      <c r="D80" s="3">
        <v>0.95</v>
      </c>
      <c r="E80" s="3">
        <v>1.05</v>
      </c>
      <c r="F80" s="3" t="s">
        <v>451</v>
      </c>
      <c r="G80" s="136">
        <v>0.5</v>
      </c>
      <c r="H80" s="136">
        <v>2</v>
      </c>
      <c r="I80" s="3" t="s">
        <v>466</v>
      </c>
      <c r="J80" t="s">
        <v>577</v>
      </c>
    </row>
    <row r="81" spans="1:10" x14ac:dyDescent="0.3">
      <c r="A81" s="3" t="s">
        <v>81</v>
      </c>
      <c r="B81" s="136">
        <v>15</v>
      </c>
      <c r="C81" s="3" t="s">
        <v>3</v>
      </c>
      <c r="D81" s="3">
        <v>0.95</v>
      </c>
      <c r="E81" s="3">
        <v>1.05</v>
      </c>
      <c r="F81" s="3" t="s">
        <v>451</v>
      </c>
      <c r="G81" s="136">
        <v>0.5</v>
      </c>
      <c r="H81" s="136">
        <v>2</v>
      </c>
      <c r="I81" s="3" t="s">
        <v>466</v>
      </c>
      <c r="J81" t="s">
        <v>577</v>
      </c>
    </row>
    <row r="82" spans="1:10" x14ac:dyDescent="0.3">
      <c r="A82" s="3" t="s">
        <v>82</v>
      </c>
      <c r="B82" s="136">
        <v>15</v>
      </c>
      <c r="C82" s="3" t="s">
        <v>3</v>
      </c>
      <c r="D82" s="3">
        <v>0.95</v>
      </c>
      <c r="E82" s="3">
        <v>1.05</v>
      </c>
      <c r="F82" s="3" t="s">
        <v>451</v>
      </c>
      <c r="G82" s="136">
        <v>0.5</v>
      </c>
      <c r="H82" s="136">
        <v>2</v>
      </c>
      <c r="I82" s="3" t="s">
        <v>466</v>
      </c>
      <c r="J82" t="s">
        <v>577</v>
      </c>
    </row>
    <row r="83" spans="1:10" x14ac:dyDescent="0.3">
      <c r="A83" s="3" t="s">
        <v>83</v>
      </c>
      <c r="B83" s="136">
        <v>15</v>
      </c>
      <c r="C83" s="3" t="s">
        <v>3</v>
      </c>
      <c r="D83" s="3">
        <v>0.95</v>
      </c>
      <c r="E83" s="3">
        <v>1.05</v>
      </c>
      <c r="F83" s="3" t="s">
        <v>451</v>
      </c>
      <c r="G83" s="136">
        <v>0.5</v>
      </c>
      <c r="H83" s="136">
        <v>2</v>
      </c>
      <c r="I83" s="3" t="s">
        <v>466</v>
      </c>
      <c r="J83" t="s">
        <v>576</v>
      </c>
    </row>
    <row r="84" spans="1:10" x14ac:dyDescent="0.3">
      <c r="A84" s="3" t="s">
        <v>84</v>
      </c>
      <c r="B84" s="136">
        <v>15</v>
      </c>
      <c r="C84" s="3" t="s">
        <v>3</v>
      </c>
      <c r="D84" s="3">
        <v>0.95</v>
      </c>
      <c r="E84" s="3">
        <v>1.05</v>
      </c>
      <c r="F84" s="3" t="s">
        <v>451</v>
      </c>
      <c r="G84" s="136">
        <v>0.5</v>
      </c>
      <c r="H84" s="136">
        <v>2</v>
      </c>
      <c r="I84" s="3" t="s">
        <v>466</v>
      </c>
      <c r="J84" t="s">
        <v>577</v>
      </c>
    </row>
    <row r="85" spans="1:10" x14ac:dyDescent="0.3">
      <c r="A85" s="3" t="s">
        <v>85</v>
      </c>
      <c r="B85" s="136">
        <v>15</v>
      </c>
      <c r="C85" s="3" t="s">
        <v>3</v>
      </c>
      <c r="D85" s="3">
        <v>0.95</v>
      </c>
      <c r="E85" s="3">
        <v>1.05</v>
      </c>
      <c r="F85" s="3" t="s">
        <v>451</v>
      </c>
      <c r="G85" s="136">
        <v>0.5</v>
      </c>
      <c r="H85" s="136">
        <v>2</v>
      </c>
      <c r="I85" s="3" t="s">
        <v>466</v>
      </c>
      <c r="J85" t="s">
        <v>577</v>
      </c>
    </row>
    <row r="86" spans="1:10" x14ac:dyDescent="0.3">
      <c r="A86" s="3" t="s">
        <v>86</v>
      </c>
      <c r="B86" s="136">
        <v>15</v>
      </c>
      <c r="C86" s="3" t="s">
        <v>3</v>
      </c>
      <c r="D86" s="3">
        <v>0.95</v>
      </c>
      <c r="E86" s="3">
        <v>1.05</v>
      </c>
      <c r="F86" s="3" t="s">
        <v>451</v>
      </c>
      <c r="G86" s="136">
        <v>0.5</v>
      </c>
      <c r="H86" s="136">
        <v>2</v>
      </c>
      <c r="I86" s="3" t="s">
        <v>466</v>
      </c>
      <c r="J86" t="s">
        <v>577</v>
      </c>
    </row>
    <row r="87" spans="1:10" x14ac:dyDescent="0.3">
      <c r="A87" s="3" t="s">
        <v>87</v>
      </c>
      <c r="B87" s="136">
        <v>15</v>
      </c>
      <c r="C87" s="3" t="s">
        <v>3</v>
      </c>
      <c r="D87" s="3">
        <v>0.95</v>
      </c>
      <c r="E87" s="3">
        <v>1.05</v>
      </c>
      <c r="F87" s="3" t="s">
        <v>456</v>
      </c>
      <c r="G87" s="136">
        <v>0.5</v>
      </c>
      <c r="H87" s="136">
        <v>2</v>
      </c>
      <c r="I87" s="3" t="s">
        <v>466</v>
      </c>
      <c r="J87" t="s">
        <v>576</v>
      </c>
    </row>
    <row r="88" spans="1:10" x14ac:dyDescent="0.3">
      <c r="A88" s="3" t="s">
        <v>88</v>
      </c>
      <c r="B88" s="136">
        <v>15</v>
      </c>
      <c r="C88" s="3" t="s">
        <v>3</v>
      </c>
      <c r="D88" s="3">
        <v>0.95</v>
      </c>
      <c r="E88" s="3">
        <v>1.05</v>
      </c>
      <c r="F88" s="3" t="s">
        <v>456</v>
      </c>
      <c r="G88" s="136">
        <v>0.5</v>
      </c>
      <c r="H88" s="136">
        <v>2</v>
      </c>
      <c r="I88" s="3" t="s">
        <v>466</v>
      </c>
      <c r="J88" t="s">
        <v>577</v>
      </c>
    </row>
    <row r="89" spans="1:10" x14ac:dyDescent="0.3">
      <c r="A89" s="3" t="s">
        <v>89</v>
      </c>
      <c r="B89" s="136">
        <v>15</v>
      </c>
      <c r="C89" s="3" t="s">
        <v>3</v>
      </c>
      <c r="D89" s="3">
        <v>0.95</v>
      </c>
      <c r="E89" s="3">
        <v>1.05</v>
      </c>
      <c r="F89" s="3" t="s">
        <v>456</v>
      </c>
      <c r="G89" s="136">
        <v>0.5</v>
      </c>
      <c r="H89" s="136">
        <v>2</v>
      </c>
      <c r="I89" s="3" t="s">
        <v>466</v>
      </c>
      <c r="J89" t="s">
        <v>577</v>
      </c>
    </row>
    <row r="90" spans="1:10" x14ac:dyDescent="0.3">
      <c r="A90" s="3" t="s">
        <v>90</v>
      </c>
      <c r="B90" s="136">
        <v>15</v>
      </c>
      <c r="C90" s="3" t="s">
        <v>3</v>
      </c>
      <c r="D90" s="3">
        <v>0.95</v>
      </c>
      <c r="E90" s="3">
        <v>1.05</v>
      </c>
      <c r="F90" s="3" t="s">
        <v>456</v>
      </c>
      <c r="G90" s="136">
        <v>0.5</v>
      </c>
      <c r="H90" s="136">
        <v>2</v>
      </c>
      <c r="I90" s="3" t="s">
        <v>466</v>
      </c>
      <c r="J90" t="s">
        <v>577</v>
      </c>
    </row>
    <row r="91" spans="1:10" x14ac:dyDescent="0.3">
      <c r="A91" s="3" t="s">
        <v>91</v>
      </c>
      <c r="B91" s="136">
        <v>15</v>
      </c>
      <c r="C91" s="3" t="s">
        <v>3</v>
      </c>
      <c r="D91" s="3">
        <v>0.95</v>
      </c>
      <c r="E91" s="3">
        <v>1.05</v>
      </c>
      <c r="F91" s="3" t="s">
        <v>456</v>
      </c>
      <c r="G91" s="136">
        <v>0.5</v>
      </c>
      <c r="H91" s="136">
        <v>2</v>
      </c>
      <c r="I91" s="3" t="s">
        <v>466</v>
      </c>
      <c r="J91" t="s">
        <v>577</v>
      </c>
    </row>
    <row r="92" spans="1:10" x14ac:dyDescent="0.3">
      <c r="A92" s="3" t="s">
        <v>92</v>
      </c>
      <c r="B92" s="136">
        <v>15</v>
      </c>
      <c r="C92" s="3" t="s">
        <v>3</v>
      </c>
      <c r="D92" s="3">
        <v>0.95</v>
      </c>
      <c r="E92" s="3">
        <v>1.05</v>
      </c>
      <c r="F92" s="3" t="s">
        <v>456</v>
      </c>
      <c r="G92" s="136">
        <v>0.5</v>
      </c>
      <c r="H92" s="136">
        <v>2</v>
      </c>
      <c r="I92" s="3" t="s">
        <v>466</v>
      </c>
      <c r="J92" t="s">
        <v>576</v>
      </c>
    </row>
    <row r="93" spans="1:10" x14ac:dyDescent="0.3">
      <c r="A93" s="3" t="s">
        <v>93</v>
      </c>
      <c r="B93" s="136">
        <v>15</v>
      </c>
      <c r="C93" s="3" t="s">
        <v>3</v>
      </c>
      <c r="D93" s="3">
        <v>0.95</v>
      </c>
      <c r="E93" s="3">
        <v>1.05</v>
      </c>
      <c r="F93" s="3" t="s">
        <v>456</v>
      </c>
      <c r="G93" s="136">
        <v>0.5</v>
      </c>
      <c r="H93" s="136">
        <v>2</v>
      </c>
      <c r="I93" s="3" t="s">
        <v>466</v>
      </c>
      <c r="J93" t="s">
        <v>576</v>
      </c>
    </row>
    <row r="94" spans="1:10" x14ac:dyDescent="0.3">
      <c r="A94" s="3" t="s">
        <v>94</v>
      </c>
      <c r="B94" s="136">
        <v>15</v>
      </c>
      <c r="C94" s="3" t="s">
        <v>3</v>
      </c>
      <c r="D94" s="3">
        <v>0.95</v>
      </c>
      <c r="E94" s="3">
        <v>1.05</v>
      </c>
      <c r="F94" s="3" t="s">
        <v>456</v>
      </c>
      <c r="G94" s="136">
        <v>0.5</v>
      </c>
      <c r="H94" s="136">
        <v>2</v>
      </c>
      <c r="I94" s="3" t="s">
        <v>466</v>
      </c>
      <c r="J94" t="s">
        <v>576</v>
      </c>
    </row>
    <row r="95" spans="1:10" x14ac:dyDescent="0.3">
      <c r="A95" s="3" t="s">
        <v>95</v>
      </c>
      <c r="B95" s="136">
        <v>15</v>
      </c>
      <c r="C95" s="3" t="s">
        <v>3</v>
      </c>
      <c r="D95" s="3">
        <v>0.95</v>
      </c>
      <c r="E95" s="3">
        <v>1.05</v>
      </c>
      <c r="F95" s="3" t="s">
        <v>456</v>
      </c>
      <c r="G95" s="136">
        <v>0.5</v>
      </c>
      <c r="H95" s="136">
        <v>2</v>
      </c>
      <c r="I95" s="3" t="s">
        <v>466</v>
      </c>
      <c r="J95" t="s">
        <v>577</v>
      </c>
    </row>
    <row r="96" spans="1:10" x14ac:dyDescent="0.3">
      <c r="A96" s="3" t="s">
        <v>96</v>
      </c>
      <c r="B96" s="136">
        <v>15</v>
      </c>
      <c r="C96" s="3" t="s">
        <v>3</v>
      </c>
      <c r="D96" s="3">
        <v>0.95</v>
      </c>
      <c r="E96" s="3">
        <v>1.05</v>
      </c>
      <c r="F96" s="3" t="s">
        <v>456</v>
      </c>
      <c r="G96" s="136">
        <v>0.5</v>
      </c>
      <c r="H96" s="136">
        <v>2</v>
      </c>
      <c r="I96" s="3" t="s">
        <v>466</v>
      </c>
      <c r="J96" t="s">
        <v>577</v>
      </c>
    </row>
    <row r="97" spans="1:10" x14ac:dyDescent="0.3">
      <c r="A97" s="3" t="s">
        <v>97</v>
      </c>
      <c r="B97" s="136">
        <v>15</v>
      </c>
      <c r="C97" s="3" t="s">
        <v>3</v>
      </c>
      <c r="D97" s="3">
        <v>0.95</v>
      </c>
      <c r="E97" s="3">
        <v>1.05</v>
      </c>
      <c r="F97" s="3" t="s">
        <v>456</v>
      </c>
      <c r="G97" s="136">
        <v>0.5</v>
      </c>
      <c r="H97" s="136">
        <v>2</v>
      </c>
      <c r="I97" s="3" t="s">
        <v>466</v>
      </c>
      <c r="J97" t="s">
        <v>576</v>
      </c>
    </row>
    <row r="98" spans="1:10" x14ac:dyDescent="0.3">
      <c r="A98" s="3" t="s">
        <v>98</v>
      </c>
      <c r="B98" s="136">
        <v>15</v>
      </c>
      <c r="C98" s="3" t="s">
        <v>3</v>
      </c>
      <c r="D98" s="3">
        <v>0.95</v>
      </c>
      <c r="E98" s="3">
        <v>1.05</v>
      </c>
      <c r="F98" s="3" t="s">
        <v>456</v>
      </c>
      <c r="G98" s="136">
        <v>0.5</v>
      </c>
      <c r="H98" s="136">
        <v>2</v>
      </c>
      <c r="I98" s="3" t="s">
        <v>466</v>
      </c>
      <c r="J98" t="s">
        <v>576</v>
      </c>
    </row>
    <row r="99" spans="1:10" x14ac:dyDescent="0.3">
      <c r="B99" s="136"/>
      <c r="G99" s="136"/>
      <c r="H99" s="136"/>
    </row>
    <row r="100" spans="1:10" x14ac:dyDescent="0.3">
      <c r="B100" s="136"/>
      <c r="G100" s="136"/>
      <c r="H100" s="136"/>
    </row>
    <row r="101" spans="1:10" x14ac:dyDescent="0.3">
      <c r="B101" s="136"/>
      <c r="G101" s="136"/>
      <c r="H101" s="136"/>
    </row>
    <row r="102" spans="1:10" x14ac:dyDescent="0.3">
      <c r="B102" s="136"/>
      <c r="G102" s="136"/>
      <c r="H102" s="136"/>
    </row>
    <row r="103" spans="1:10" x14ac:dyDescent="0.3">
      <c r="B103" s="136"/>
      <c r="G103" s="136"/>
      <c r="H103" s="136"/>
    </row>
    <row r="104" spans="1:10" x14ac:dyDescent="0.3">
      <c r="B104" s="136"/>
      <c r="G104" s="136"/>
      <c r="H104" s="136"/>
    </row>
    <row r="105" spans="1:10" x14ac:dyDescent="0.3">
      <c r="B105" s="136"/>
      <c r="G105" s="136"/>
      <c r="H105" s="136"/>
    </row>
    <row r="106" spans="1:10" x14ac:dyDescent="0.3">
      <c r="B106" s="136"/>
      <c r="G106" s="136"/>
      <c r="H106" s="136"/>
    </row>
    <row r="107" spans="1:10" x14ac:dyDescent="0.3">
      <c r="B107" s="136"/>
      <c r="G107" s="136"/>
      <c r="H107" s="136"/>
    </row>
    <row r="108" spans="1:10" x14ac:dyDescent="0.3">
      <c r="B108" s="136"/>
      <c r="G108" s="136"/>
      <c r="H108" s="136"/>
    </row>
    <row r="109" spans="1:10" x14ac:dyDescent="0.3">
      <c r="B109" s="136"/>
      <c r="G109" s="136"/>
      <c r="H109" s="136"/>
    </row>
    <row r="110" spans="1:10" x14ac:dyDescent="0.3">
      <c r="B110" s="136"/>
      <c r="G110" s="136"/>
      <c r="H110" s="136"/>
    </row>
    <row r="111" spans="1:10" x14ac:dyDescent="0.3">
      <c r="B111" s="136"/>
      <c r="G111" s="136"/>
      <c r="H111" s="136"/>
    </row>
    <row r="112" spans="1:10" x14ac:dyDescent="0.3">
      <c r="B112" s="136"/>
      <c r="G112" s="136"/>
      <c r="H112" s="136"/>
    </row>
    <row r="113" spans="2:8" x14ac:dyDescent="0.3">
      <c r="B113" s="136"/>
      <c r="G113" s="136"/>
      <c r="H113" s="136"/>
    </row>
    <row r="114" spans="2:8" x14ac:dyDescent="0.3">
      <c r="B114" s="136"/>
      <c r="G114" s="136"/>
      <c r="H114" s="136"/>
    </row>
    <row r="115" spans="2:8" x14ac:dyDescent="0.3">
      <c r="B115" s="136"/>
      <c r="G115" s="136"/>
      <c r="H115" s="136"/>
    </row>
    <row r="116" spans="2:8" x14ac:dyDescent="0.3">
      <c r="B116" s="136"/>
      <c r="G116" s="136"/>
      <c r="H116" s="136"/>
    </row>
    <row r="117" spans="2:8" x14ac:dyDescent="0.3">
      <c r="B117" s="136"/>
      <c r="G117" s="136"/>
      <c r="H117" s="136"/>
    </row>
    <row r="118" spans="2:8" x14ac:dyDescent="0.3">
      <c r="B118" s="136"/>
      <c r="G118" s="136"/>
      <c r="H118" s="136"/>
    </row>
    <row r="119" spans="2:8" x14ac:dyDescent="0.3">
      <c r="B119" s="136"/>
      <c r="G119" s="136"/>
      <c r="H119" s="136"/>
    </row>
    <row r="120" spans="2:8" x14ac:dyDescent="0.3">
      <c r="B120" s="136"/>
      <c r="G120" s="136"/>
      <c r="H120" s="136"/>
    </row>
    <row r="121" spans="2:8" x14ac:dyDescent="0.3">
      <c r="B121" s="136"/>
      <c r="G121" s="136"/>
      <c r="H121" s="136"/>
    </row>
    <row r="122" spans="2:8" x14ac:dyDescent="0.3">
      <c r="B122" s="136"/>
      <c r="G122" s="136"/>
      <c r="H122" s="136"/>
    </row>
    <row r="123" spans="2:8" x14ac:dyDescent="0.3">
      <c r="B123" s="136"/>
      <c r="G123" s="136"/>
      <c r="H123" s="136"/>
    </row>
    <row r="124" spans="2:8" x14ac:dyDescent="0.3">
      <c r="B124" s="136"/>
      <c r="G124" s="136"/>
      <c r="H124" s="136"/>
    </row>
    <row r="125" spans="2:8" x14ac:dyDescent="0.3">
      <c r="B125" s="136"/>
      <c r="G125" s="136"/>
      <c r="H125" s="136"/>
    </row>
    <row r="126" spans="2:8" x14ac:dyDescent="0.3">
      <c r="B126" s="136"/>
      <c r="G126" s="136"/>
      <c r="H126" s="13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F9D18-58B5-41A3-907C-6095DB53F75A}">
  <dimension ref="A1:N249"/>
  <sheetViews>
    <sheetView tabSelected="1" workbookViewId="0">
      <selection activeCell="H2" sqref="A2:N231"/>
    </sheetView>
  </sheetViews>
  <sheetFormatPr defaultColWidth="8.77734375" defaultRowHeight="14.4" x14ac:dyDescent="0.3"/>
  <cols>
    <col min="1" max="4" width="16" customWidth="1"/>
    <col min="5" max="5" width="16" style="27" customWidth="1"/>
    <col min="6" max="6" width="12.77734375" style="29" customWidth="1"/>
    <col min="7" max="7" width="13.44140625" style="3" customWidth="1"/>
    <col min="8" max="9" width="10.44140625" style="31" customWidth="1"/>
    <col min="10" max="10" width="20.77734375" style="1" bestFit="1" customWidth="1"/>
    <col min="11" max="11" width="10.44140625" style="1" bestFit="1" customWidth="1"/>
    <col min="12" max="12" width="10.109375" style="1" bestFit="1" customWidth="1"/>
    <col min="13" max="13" width="9" style="1" bestFit="1" customWidth="1"/>
    <col min="14" max="14" width="6.44140625" style="1" bestFit="1" customWidth="1"/>
  </cols>
  <sheetData>
    <row r="1" spans="1:14" x14ac:dyDescent="0.3">
      <c r="A1" s="21" t="s">
        <v>308</v>
      </c>
      <c r="B1" s="22" t="s">
        <v>309</v>
      </c>
      <c r="C1" s="22" t="s">
        <v>310</v>
      </c>
      <c r="D1" s="23" t="s">
        <v>311</v>
      </c>
      <c r="E1" s="24" t="s">
        <v>306</v>
      </c>
      <c r="F1" s="24" t="s">
        <v>312</v>
      </c>
      <c r="G1" s="25" t="s">
        <v>313</v>
      </c>
      <c r="H1" s="24" t="s">
        <v>314</v>
      </c>
      <c r="I1" s="24" t="s">
        <v>315</v>
      </c>
      <c r="J1" s="24" t="s">
        <v>467</v>
      </c>
      <c r="K1" s="24" t="s">
        <v>489</v>
      </c>
      <c r="L1" s="24" t="s">
        <v>490</v>
      </c>
      <c r="M1" s="24" t="s">
        <v>469</v>
      </c>
      <c r="N1" s="24" t="s">
        <v>470</v>
      </c>
    </row>
    <row r="2" spans="1:14" x14ac:dyDescent="0.3">
      <c r="A2" t="s">
        <v>99</v>
      </c>
      <c r="B2" t="s">
        <v>2</v>
      </c>
      <c r="C2" t="s">
        <v>19</v>
      </c>
      <c r="D2" t="s">
        <v>100</v>
      </c>
      <c r="E2" s="138">
        <v>15</v>
      </c>
      <c r="F2" s="28">
        <v>0.56399999999999995</v>
      </c>
      <c r="G2" s="30">
        <v>3</v>
      </c>
      <c r="H2" s="26" t="s">
        <v>101</v>
      </c>
      <c r="I2" s="26" t="s">
        <v>101</v>
      </c>
      <c r="K2" s="11">
        <v>0.5</v>
      </c>
      <c r="L2" s="11">
        <v>2</v>
      </c>
      <c r="M2" s="1">
        <v>1</v>
      </c>
      <c r="N2" s="1">
        <v>0</v>
      </c>
    </row>
    <row r="3" spans="1:14" x14ac:dyDescent="0.3">
      <c r="D3" t="s">
        <v>102</v>
      </c>
      <c r="E3" s="138"/>
      <c r="F3" s="28">
        <v>0.17899999999999999</v>
      </c>
      <c r="G3" s="30"/>
      <c r="H3" s="26"/>
      <c r="I3" s="26"/>
      <c r="J3" s="1" t="s">
        <v>468</v>
      </c>
      <c r="K3" s="11"/>
      <c r="L3" s="11"/>
    </row>
    <row r="4" spans="1:14" x14ac:dyDescent="0.3">
      <c r="D4" t="s">
        <v>103</v>
      </c>
      <c r="E4" s="138"/>
      <c r="F4" s="28">
        <v>0.04</v>
      </c>
      <c r="G4" s="30"/>
      <c r="H4" s="26"/>
      <c r="I4" s="26"/>
      <c r="J4" s="1" t="s">
        <v>468</v>
      </c>
      <c r="K4" s="11"/>
      <c r="L4" s="11"/>
    </row>
    <row r="5" spans="1:14" x14ac:dyDescent="0.3">
      <c r="D5" t="s">
        <v>100</v>
      </c>
      <c r="E5" s="138"/>
      <c r="F5" s="28">
        <v>0.34499999999999997</v>
      </c>
      <c r="G5" s="30"/>
      <c r="H5" s="26"/>
      <c r="I5" s="26"/>
      <c r="K5" s="11"/>
      <c r="L5" s="11"/>
    </row>
    <row r="6" spans="1:14" x14ac:dyDescent="0.3">
      <c r="A6" t="s">
        <v>104</v>
      </c>
      <c r="B6" t="s">
        <v>19</v>
      </c>
      <c r="C6" t="s">
        <v>18</v>
      </c>
      <c r="D6" t="s">
        <v>100</v>
      </c>
      <c r="E6" s="138">
        <v>15</v>
      </c>
      <c r="F6" s="28">
        <v>0.16800000000000001</v>
      </c>
      <c r="G6" s="30">
        <v>2</v>
      </c>
      <c r="H6" s="26" t="s">
        <v>101</v>
      </c>
      <c r="I6" s="26" t="s">
        <v>101</v>
      </c>
      <c r="K6" s="11">
        <v>0.5</v>
      </c>
      <c r="L6" s="11">
        <v>2</v>
      </c>
      <c r="M6" s="1">
        <v>0</v>
      </c>
      <c r="N6" s="1">
        <v>0</v>
      </c>
    </row>
    <row r="7" spans="1:14" x14ac:dyDescent="0.3">
      <c r="D7" t="s">
        <v>102</v>
      </c>
      <c r="E7" s="138"/>
      <c r="F7" s="28">
        <v>0.08</v>
      </c>
      <c r="G7" s="30"/>
      <c r="H7" s="26"/>
      <c r="I7" s="26"/>
      <c r="J7" s="1" t="s">
        <v>468</v>
      </c>
      <c r="K7" s="11"/>
      <c r="L7" s="11"/>
    </row>
    <row r="8" spans="1:14" x14ac:dyDescent="0.3">
      <c r="D8" t="s">
        <v>100</v>
      </c>
      <c r="E8" s="138"/>
      <c r="F8" s="28">
        <v>8.7999999999999995E-2</v>
      </c>
      <c r="G8" s="30"/>
      <c r="H8" s="26"/>
      <c r="I8" s="26"/>
      <c r="K8" s="11"/>
      <c r="L8" s="11"/>
    </row>
    <row r="9" spans="1:14" x14ac:dyDescent="0.3">
      <c r="A9" t="s">
        <v>105</v>
      </c>
      <c r="B9" t="s">
        <v>18</v>
      </c>
      <c r="C9" t="s">
        <v>20</v>
      </c>
      <c r="D9" t="s">
        <v>100</v>
      </c>
      <c r="E9" s="138">
        <v>15</v>
      </c>
      <c r="F9" s="28">
        <v>0.05</v>
      </c>
      <c r="G9" s="30">
        <v>1</v>
      </c>
      <c r="H9" s="26" t="s">
        <v>101</v>
      </c>
      <c r="I9" s="26" t="s">
        <v>101</v>
      </c>
      <c r="K9" s="11">
        <v>0.5</v>
      </c>
      <c r="L9" s="11">
        <v>2</v>
      </c>
      <c r="M9" s="1">
        <v>0</v>
      </c>
      <c r="N9" s="1">
        <v>0</v>
      </c>
    </row>
    <row r="10" spans="1:14" x14ac:dyDescent="0.3">
      <c r="A10" t="s">
        <v>106</v>
      </c>
      <c r="B10" t="s">
        <v>20</v>
      </c>
      <c r="C10" t="s">
        <v>17</v>
      </c>
      <c r="D10" t="s">
        <v>107</v>
      </c>
      <c r="E10" s="138">
        <v>15</v>
      </c>
      <c r="F10" s="28">
        <v>0.27400000000000002</v>
      </c>
      <c r="G10" s="30">
        <v>2</v>
      </c>
      <c r="H10" s="26" t="s">
        <v>101</v>
      </c>
      <c r="I10" s="26" t="s">
        <v>101</v>
      </c>
      <c r="K10" s="11">
        <v>0.5</v>
      </c>
      <c r="L10" s="11">
        <v>2</v>
      </c>
      <c r="M10" s="1">
        <v>0</v>
      </c>
      <c r="N10" s="1">
        <v>0</v>
      </c>
    </row>
    <row r="11" spans="1:14" x14ac:dyDescent="0.3">
      <c r="D11" t="s">
        <v>100</v>
      </c>
      <c r="E11" s="138"/>
      <c r="F11" s="28">
        <v>9.4E-2</v>
      </c>
      <c r="G11" s="30"/>
      <c r="H11" s="26"/>
      <c r="I11" s="26"/>
      <c r="J11" s="1" t="s">
        <v>468</v>
      </c>
      <c r="K11" s="11"/>
      <c r="L11" s="11"/>
    </row>
    <row r="12" spans="1:14" x14ac:dyDescent="0.3">
      <c r="D12" t="s">
        <v>107</v>
      </c>
      <c r="E12" s="138"/>
      <c r="F12" s="28">
        <v>0.18</v>
      </c>
      <c r="G12" s="30"/>
      <c r="H12" s="26"/>
      <c r="I12" s="26"/>
      <c r="K12" s="11"/>
      <c r="L12" s="11"/>
    </row>
    <row r="13" spans="1:14" x14ac:dyDescent="0.3">
      <c r="A13" t="s">
        <v>108</v>
      </c>
      <c r="B13" t="s">
        <v>2</v>
      </c>
      <c r="C13" t="s">
        <v>71</v>
      </c>
      <c r="D13" t="s">
        <v>107</v>
      </c>
      <c r="E13" s="138">
        <v>15</v>
      </c>
      <c r="F13" s="28">
        <v>0.81</v>
      </c>
      <c r="G13" s="30">
        <v>3</v>
      </c>
      <c r="H13" s="26" t="s">
        <v>101</v>
      </c>
      <c r="I13" s="26" t="s">
        <v>101</v>
      </c>
      <c r="K13" s="11">
        <v>0.5</v>
      </c>
      <c r="L13" s="11">
        <v>2</v>
      </c>
      <c r="M13" s="1">
        <v>1</v>
      </c>
      <c r="N13" s="1">
        <v>0</v>
      </c>
    </row>
    <row r="14" spans="1:14" x14ac:dyDescent="0.3">
      <c r="D14" t="s">
        <v>109</v>
      </c>
      <c r="E14" s="138"/>
      <c r="F14" s="28">
        <v>0.11</v>
      </c>
      <c r="G14" s="30"/>
      <c r="H14" s="26"/>
      <c r="I14" s="26"/>
      <c r="J14" s="1" t="s">
        <v>468</v>
      </c>
      <c r="K14" s="11"/>
      <c r="L14" s="11"/>
    </row>
    <row r="15" spans="1:14" x14ac:dyDescent="0.3">
      <c r="D15" t="s">
        <v>107</v>
      </c>
      <c r="E15" s="138"/>
      <c r="F15" s="28">
        <v>0.64</v>
      </c>
      <c r="G15" s="30"/>
      <c r="H15" s="26"/>
      <c r="I15" s="26"/>
      <c r="J15" s="1" t="s">
        <v>468</v>
      </c>
      <c r="K15" s="11"/>
      <c r="L15" s="11"/>
    </row>
    <row r="16" spans="1:14" x14ac:dyDescent="0.3">
      <c r="D16" t="s">
        <v>109</v>
      </c>
      <c r="E16" s="138"/>
      <c r="F16" s="28">
        <v>0.06</v>
      </c>
      <c r="G16" s="30"/>
      <c r="H16" s="26"/>
      <c r="I16" s="26"/>
      <c r="K16" s="11"/>
      <c r="L16" s="11"/>
    </row>
    <row r="17" spans="1:14" x14ac:dyDescent="0.3">
      <c r="A17" t="s">
        <v>110</v>
      </c>
      <c r="B17" t="s">
        <v>71</v>
      </c>
      <c r="C17" t="s">
        <v>68</v>
      </c>
      <c r="D17" t="s">
        <v>107</v>
      </c>
      <c r="E17" s="138">
        <v>15</v>
      </c>
      <c r="F17" s="28">
        <v>0.73799999999999999</v>
      </c>
      <c r="G17" s="30">
        <v>4</v>
      </c>
      <c r="H17" s="26" t="s">
        <v>101</v>
      </c>
      <c r="I17" s="26" t="s">
        <v>101</v>
      </c>
      <c r="K17" s="11">
        <v>0.5</v>
      </c>
      <c r="L17" s="11">
        <v>2</v>
      </c>
      <c r="M17" s="1">
        <v>0</v>
      </c>
      <c r="N17" s="1">
        <v>0</v>
      </c>
    </row>
    <row r="18" spans="1:14" x14ac:dyDescent="0.3">
      <c r="D18" t="s">
        <v>111</v>
      </c>
      <c r="E18" s="138"/>
      <c r="F18" s="28">
        <v>2.1999999999999999E-2</v>
      </c>
      <c r="G18" s="30"/>
      <c r="H18" s="26"/>
      <c r="I18" s="26"/>
      <c r="J18" s="1" t="s">
        <v>468</v>
      </c>
      <c r="K18" s="11"/>
      <c r="L18" s="11"/>
    </row>
    <row r="19" spans="1:14" x14ac:dyDescent="0.3">
      <c r="D19" t="s">
        <v>102</v>
      </c>
      <c r="E19" s="138"/>
      <c r="F19" s="28">
        <v>0.21</v>
      </c>
      <c r="G19" s="30"/>
      <c r="H19" s="26"/>
      <c r="I19" s="26"/>
      <c r="J19" s="1" t="s">
        <v>468</v>
      </c>
      <c r="K19" s="11"/>
      <c r="L19" s="11"/>
    </row>
    <row r="20" spans="1:14" x14ac:dyDescent="0.3">
      <c r="D20" t="s">
        <v>107</v>
      </c>
      <c r="E20" s="138"/>
      <c r="F20" s="28">
        <v>0.4</v>
      </c>
      <c r="G20" s="30"/>
      <c r="H20" s="26"/>
      <c r="I20" s="26"/>
      <c r="J20" s="1" t="s">
        <v>468</v>
      </c>
      <c r="K20" s="11"/>
      <c r="L20" s="11"/>
    </row>
    <row r="21" spans="1:14" x14ac:dyDescent="0.3">
      <c r="D21" t="s">
        <v>109</v>
      </c>
      <c r="E21" s="138"/>
      <c r="F21" s="28">
        <v>0.106</v>
      </c>
      <c r="G21" s="30"/>
      <c r="H21" s="26"/>
      <c r="I21" s="26"/>
      <c r="K21" s="11"/>
      <c r="L21" s="11"/>
    </row>
    <row r="22" spans="1:14" x14ac:dyDescent="0.3">
      <c r="A22" t="s">
        <v>112</v>
      </c>
      <c r="B22" t="s">
        <v>68</v>
      </c>
      <c r="C22" t="s">
        <v>69</v>
      </c>
      <c r="D22" t="s">
        <v>111</v>
      </c>
      <c r="E22" s="138">
        <v>15</v>
      </c>
      <c r="F22" s="28">
        <v>0.16</v>
      </c>
      <c r="G22" s="30">
        <v>2</v>
      </c>
      <c r="H22" s="26" t="s">
        <v>101</v>
      </c>
      <c r="I22" s="26" t="s">
        <v>101</v>
      </c>
      <c r="K22" s="11">
        <v>0.5</v>
      </c>
      <c r="L22" s="11">
        <v>2</v>
      </c>
      <c r="M22" s="1">
        <v>0</v>
      </c>
      <c r="N22" s="1">
        <v>0</v>
      </c>
    </row>
    <row r="23" spans="1:14" x14ac:dyDescent="0.3">
      <c r="D23" t="s">
        <v>111</v>
      </c>
      <c r="E23" s="138"/>
      <c r="F23" s="28">
        <v>0.15</v>
      </c>
      <c r="G23" s="30"/>
      <c r="H23" s="26"/>
      <c r="I23" s="26"/>
      <c r="J23" s="1" t="s">
        <v>468</v>
      </c>
      <c r="K23" s="11"/>
      <c r="L23" s="11"/>
    </row>
    <row r="24" spans="1:14" x14ac:dyDescent="0.3">
      <c r="D24" t="s">
        <v>100</v>
      </c>
      <c r="E24" s="138"/>
      <c r="F24" s="28">
        <v>0.01</v>
      </c>
      <c r="G24" s="30"/>
      <c r="H24" s="26"/>
      <c r="I24" s="26"/>
      <c r="K24" s="11"/>
      <c r="L24" s="11"/>
    </row>
    <row r="25" spans="1:14" x14ac:dyDescent="0.3">
      <c r="A25" t="s">
        <v>113</v>
      </c>
      <c r="B25" t="s">
        <v>69</v>
      </c>
      <c r="C25" t="s">
        <v>64</v>
      </c>
      <c r="D25" t="s">
        <v>111</v>
      </c>
      <c r="E25" s="138">
        <v>15</v>
      </c>
      <c r="F25" s="28">
        <v>0.11</v>
      </c>
      <c r="G25" s="30">
        <v>3</v>
      </c>
      <c r="H25" s="26" t="s">
        <v>101</v>
      </c>
      <c r="I25" s="26" t="s">
        <v>101</v>
      </c>
      <c r="K25" s="11">
        <v>0.5</v>
      </c>
      <c r="L25" s="11">
        <v>2</v>
      </c>
      <c r="M25" s="1">
        <v>0</v>
      </c>
      <c r="N25" s="1">
        <v>0</v>
      </c>
    </row>
    <row r="26" spans="1:14" x14ac:dyDescent="0.3">
      <c r="D26" t="s">
        <v>111</v>
      </c>
      <c r="E26" s="138"/>
      <c r="F26" s="28">
        <v>8.5000000000000006E-2</v>
      </c>
      <c r="G26" s="30"/>
      <c r="H26" s="26"/>
      <c r="I26" s="26"/>
      <c r="J26" s="1" t="s">
        <v>468</v>
      </c>
      <c r="K26" s="11"/>
      <c r="L26" s="11"/>
    </row>
    <row r="27" spans="1:14" x14ac:dyDescent="0.3">
      <c r="D27" t="s">
        <v>100</v>
      </c>
      <c r="E27" s="138"/>
      <c r="F27" s="28">
        <v>1.4999999999999999E-2</v>
      </c>
      <c r="G27" s="30"/>
      <c r="H27" s="26"/>
      <c r="I27" s="26"/>
      <c r="J27" s="1" t="s">
        <v>468</v>
      </c>
      <c r="K27" s="11"/>
      <c r="L27" s="11"/>
    </row>
    <row r="28" spans="1:14" x14ac:dyDescent="0.3">
      <c r="D28" t="s">
        <v>100</v>
      </c>
      <c r="E28" s="138"/>
      <c r="F28" s="28">
        <v>0.01</v>
      </c>
      <c r="G28" s="30"/>
      <c r="H28" s="26"/>
      <c r="I28" s="26"/>
      <c r="K28" s="11"/>
      <c r="L28" s="11"/>
    </row>
    <row r="29" spans="1:14" x14ac:dyDescent="0.3">
      <c r="A29" t="s">
        <v>114</v>
      </c>
      <c r="B29" t="s">
        <v>64</v>
      </c>
      <c r="C29" t="s">
        <v>65</v>
      </c>
      <c r="D29" t="s">
        <v>111</v>
      </c>
      <c r="E29" s="138">
        <v>15</v>
      </c>
      <c r="F29" s="28">
        <v>7.4999999999999997E-2</v>
      </c>
      <c r="G29" s="30">
        <v>1</v>
      </c>
      <c r="H29" s="26" t="s">
        <v>101</v>
      </c>
      <c r="I29" s="26" t="s">
        <v>101</v>
      </c>
      <c r="K29" s="11">
        <v>0.5</v>
      </c>
      <c r="L29" s="11">
        <v>2</v>
      </c>
      <c r="M29" s="1">
        <v>0</v>
      </c>
      <c r="N29" s="1">
        <v>0</v>
      </c>
    </row>
    <row r="30" spans="1:14" x14ac:dyDescent="0.3">
      <c r="A30" t="s">
        <v>115</v>
      </c>
      <c r="B30" t="s">
        <v>65</v>
      </c>
      <c r="C30" t="s">
        <v>67</v>
      </c>
      <c r="D30" t="s">
        <v>116</v>
      </c>
      <c r="E30" s="138">
        <v>15</v>
      </c>
      <c r="F30" s="28">
        <v>0.06</v>
      </c>
      <c r="G30" s="30">
        <v>1</v>
      </c>
      <c r="H30" s="26" t="s">
        <v>101</v>
      </c>
      <c r="I30" s="26" t="s">
        <v>101</v>
      </c>
      <c r="K30" s="11">
        <v>0.5</v>
      </c>
      <c r="L30" s="11">
        <v>2</v>
      </c>
      <c r="M30" s="1">
        <v>0</v>
      </c>
      <c r="N30" s="1">
        <v>0</v>
      </c>
    </row>
    <row r="31" spans="1:14" x14ac:dyDescent="0.3">
      <c r="A31" t="s">
        <v>117</v>
      </c>
      <c r="B31" t="s">
        <v>67</v>
      </c>
      <c r="C31" t="s">
        <v>66</v>
      </c>
      <c r="D31" t="s">
        <v>116</v>
      </c>
      <c r="E31" s="138">
        <v>15</v>
      </c>
      <c r="F31" s="28">
        <v>8.8999999999999996E-2</v>
      </c>
      <c r="G31" s="30">
        <v>2</v>
      </c>
      <c r="H31" s="26" t="s">
        <v>101</v>
      </c>
      <c r="I31" s="26" t="s">
        <v>101</v>
      </c>
      <c r="K31" s="11">
        <v>0.5</v>
      </c>
      <c r="L31" s="11">
        <v>2</v>
      </c>
      <c r="M31" s="1">
        <v>0</v>
      </c>
      <c r="N31" s="1">
        <v>0</v>
      </c>
    </row>
    <row r="32" spans="1:14" x14ac:dyDescent="0.3">
      <c r="D32" t="s">
        <v>116</v>
      </c>
      <c r="E32" s="138"/>
      <c r="F32" s="28">
        <v>5.5E-2</v>
      </c>
      <c r="G32" s="30"/>
      <c r="H32" s="26"/>
      <c r="I32" s="26"/>
      <c r="J32" s="1" t="s">
        <v>468</v>
      </c>
      <c r="K32" s="11"/>
      <c r="L32" s="11"/>
    </row>
    <row r="33" spans="1:14" x14ac:dyDescent="0.3">
      <c r="D33" t="s">
        <v>118</v>
      </c>
      <c r="E33" s="138"/>
      <c r="F33" s="28">
        <v>3.4000000000000002E-2</v>
      </c>
      <c r="G33" s="30"/>
      <c r="H33" s="26"/>
      <c r="I33" s="26"/>
      <c r="K33" s="11"/>
      <c r="L33" s="11"/>
    </row>
    <row r="34" spans="1:14" x14ac:dyDescent="0.3">
      <c r="A34" t="s">
        <v>119</v>
      </c>
      <c r="B34" t="s">
        <v>66</v>
      </c>
      <c r="C34" t="s">
        <v>70</v>
      </c>
      <c r="D34" t="s">
        <v>118</v>
      </c>
      <c r="E34" s="138">
        <v>15</v>
      </c>
      <c r="F34" s="28">
        <v>5.8999999999999997E-2</v>
      </c>
      <c r="G34" s="30">
        <v>2</v>
      </c>
      <c r="H34" s="26" t="s">
        <v>101</v>
      </c>
      <c r="I34" s="26" t="s">
        <v>101</v>
      </c>
      <c r="K34" s="11">
        <v>0.5</v>
      </c>
      <c r="L34" s="11">
        <v>2</v>
      </c>
      <c r="M34" s="1">
        <v>0</v>
      </c>
      <c r="N34" s="1">
        <v>0</v>
      </c>
    </row>
    <row r="35" spans="1:14" x14ac:dyDescent="0.3">
      <c r="D35" t="s">
        <v>116</v>
      </c>
      <c r="E35" s="138"/>
      <c r="F35" s="28">
        <v>2.5000000000000001E-2</v>
      </c>
      <c r="G35" s="30"/>
      <c r="H35" s="26"/>
      <c r="I35" s="26"/>
      <c r="J35" s="1" t="s">
        <v>468</v>
      </c>
      <c r="K35" s="11"/>
      <c r="L35" s="11"/>
    </row>
    <row r="36" spans="1:14" x14ac:dyDescent="0.3">
      <c r="D36" t="s">
        <v>118</v>
      </c>
      <c r="E36" s="138"/>
      <c r="F36" s="28">
        <v>3.4000000000000002E-2</v>
      </c>
      <c r="G36" s="30"/>
      <c r="H36" s="26"/>
      <c r="I36" s="26"/>
      <c r="K36" s="11"/>
      <c r="L36" s="11"/>
    </row>
    <row r="37" spans="1:14" x14ac:dyDescent="0.3">
      <c r="A37" t="s">
        <v>120</v>
      </c>
      <c r="B37" t="s">
        <v>2</v>
      </c>
      <c r="C37" t="s">
        <v>62</v>
      </c>
      <c r="D37" t="s">
        <v>107</v>
      </c>
      <c r="E37" s="138">
        <v>15</v>
      </c>
      <c r="F37" s="28">
        <v>2.387</v>
      </c>
      <c r="G37" s="30">
        <v>4</v>
      </c>
      <c r="H37" s="26" t="s">
        <v>101</v>
      </c>
      <c r="I37" s="26" t="s">
        <v>101</v>
      </c>
      <c r="K37" s="11">
        <v>0.5</v>
      </c>
      <c r="L37" s="11">
        <v>2</v>
      </c>
      <c r="M37" s="1">
        <v>1</v>
      </c>
      <c r="N37" s="1">
        <v>0</v>
      </c>
    </row>
    <row r="38" spans="1:14" x14ac:dyDescent="0.3">
      <c r="D38" t="s">
        <v>102</v>
      </c>
      <c r="E38" s="138"/>
      <c r="F38" s="28">
        <v>0.16300000000000001</v>
      </c>
      <c r="G38" s="30"/>
      <c r="H38" s="26"/>
      <c r="I38" s="26"/>
      <c r="J38" s="1" t="s">
        <v>468</v>
      </c>
      <c r="K38" s="11"/>
      <c r="L38" s="11"/>
    </row>
    <row r="39" spans="1:14" x14ac:dyDescent="0.3">
      <c r="D39" t="s">
        <v>100</v>
      </c>
      <c r="E39" s="138"/>
      <c r="F39" s="28">
        <v>0.1</v>
      </c>
      <c r="G39" s="30"/>
      <c r="H39" s="26"/>
      <c r="I39" s="26"/>
      <c r="J39" s="1" t="s">
        <v>468</v>
      </c>
      <c r="K39" s="11"/>
      <c r="L39" s="11"/>
    </row>
    <row r="40" spans="1:14" x14ac:dyDescent="0.3">
      <c r="D40" t="s">
        <v>107</v>
      </c>
      <c r="E40" s="138"/>
      <c r="F40" s="28">
        <v>2.0579999999999998</v>
      </c>
      <c r="G40" s="30"/>
      <c r="H40" s="26"/>
      <c r="I40" s="26"/>
      <c r="J40" s="1" t="s">
        <v>468</v>
      </c>
      <c r="K40" s="11"/>
      <c r="L40" s="11"/>
    </row>
    <row r="41" spans="1:14" x14ac:dyDescent="0.3">
      <c r="D41" t="s">
        <v>121</v>
      </c>
      <c r="E41" s="138"/>
      <c r="F41" s="28">
        <v>6.6000000000000003E-2</v>
      </c>
      <c r="G41" s="30"/>
      <c r="H41" s="26"/>
      <c r="I41" s="26"/>
      <c r="K41" s="11"/>
      <c r="L41" s="11"/>
    </row>
    <row r="42" spans="1:14" x14ac:dyDescent="0.3">
      <c r="A42" t="s">
        <v>122</v>
      </c>
      <c r="B42" t="s">
        <v>62</v>
      </c>
      <c r="C42" t="s">
        <v>59</v>
      </c>
      <c r="D42" t="s">
        <v>102</v>
      </c>
      <c r="E42" s="138">
        <v>15</v>
      </c>
      <c r="F42" s="28">
        <v>1.4999999999999999E-2</v>
      </c>
      <c r="G42" s="30">
        <v>1</v>
      </c>
      <c r="H42" s="26" t="s">
        <v>101</v>
      </c>
      <c r="I42" s="26" t="s">
        <v>101</v>
      </c>
      <c r="K42" s="11">
        <v>0.5</v>
      </c>
      <c r="L42" s="11">
        <v>2</v>
      </c>
      <c r="M42" s="1">
        <v>0</v>
      </c>
      <c r="N42" s="1">
        <v>0</v>
      </c>
    </row>
    <row r="43" spans="1:14" x14ac:dyDescent="0.3">
      <c r="A43" t="s">
        <v>123</v>
      </c>
      <c r="B43" t="s">
        <v>2</v>
      </c>
      <c r="C43" t="s">
        <v>8</v>
      </c>
      <c r="D43" t="s">
        <v>111</v>
      </c>
      <c r="E43" s="138">
        <v>15</v>
      </c>
      <c r="F43" s="28">
        <v>0.5</v>
      </c>
      <c r="G43" s="30">
        <v>2</v>
      </c>
      <c r="H43" s="26" t="s">
        <v>101</v>
      </c>
      <c r="I43" s="26" t="s">
        <v>101</v>
      </c>
      <c r="K43" s="11">
        <v>0.5</v>
      </c>
      <c r="L43" s="11">
        <v>2</v>
      </c>
      <c r="M43" s="1">
        <v>1</v>
      </c>
      <c r="N43" s="1">
        <v>0</v>
      </c>
    </row>
    <row r="44" spans="1:14" x14ac:dyDescent="0.3">
      <c r="D44" t="s">
        <v>111</v>
      </c>
      <c r="E44" s="138"/>
      <c r="F44" s="28">
        <v>0.436</v>
      </c>
      <c r="G44" s="30"/>
      <c r="H44" s="26"/>
      <c r="I44" s="26"/>
      <c r="J44" s="1" t="s">
        <v>468</v>
      </c>
      <c r="K44" s="11"/>
      <c r="L44" s="11"/>
    </row>
    <row r="45" spans="1:14" x14ac:dyDescent="0.3">
      <c r="D45" t="s">
        <v>109</v>
      </c>
      <c r="E45" s="138"/>
      <c r="F45" s="28">
        <v>6.4000000000000001E-2</v>
      </c>
      <c r="G45" s="30"/>
      <c r="H45" s="26"/>
      <c r="I45" s="26"/>
      <c r="K45" s="11"/>
      <c r="L45" s="11"/>
    </row>
    <row r="46" spans="1:14" x14ac:dyDescent="0.3">
      <c r="A46" t="s">
        <v>124</v>
      </c>
      <c r="B46" t="s">
        <v>59</v>
      </c>
      <c r="C46" t="s">
        <v>63</v>
      </c>
      <c r="D46" t="s">
        <v>102</v>
      </c>
      <c r="E46" s="138">
        <v>15</v>
      </c>
      <c r="F46" s="28">
        <v>0.01</v>
      </c>
      <c r="G46" s="30">
        <v>1</v>
      </c>
      <c r="H46" s="26" t="s">
        <v>101</v>
      </c>
      <c r="I46" s="26" t="s">
        <v>101</v>
      </c>
      <c r="K46" s="11">
        <v>0.5</v>
      </c>
      <c r="L46" s="11">
        <v>2</v>
      </c>
      <c r="M46" s="1">
        <v>0</v>
      </c>
      <c r="N46" s="1">
        <v>0</v>
      </c>
    </row>
    <row r="47" spans="1:14" x14ac:dyDescent="0.3">
      <c r="A47" t="s">
        <v>125</v>
      </c>
      <c r="B47" t="s">
        <v>63</v>
      </c>
      <c r="C47" t="s">
        <v>61</v>
      </c>
      <c r="D47" t="s">
        <v>102</v>
      </c>
      <c r="E47" s="138">
        <v>15</v>
      </c>
      <c r="F47" s="28">
        <v>0.18</v>
      </c>
      <c r="G47" s="30">
        <v>1</v>
      </c>
      <c r="H47" s="26" t="s">
        <v>101</v>
      </c>
      <c r="I47" s="26" t="s">
        <v>101</v>
      </c>
      <c r="K47" s="11">
        <v>0.5</v>
      </c>
      <c r="L47" s="11">
        <v>2</v>
      </c>
      <c r="M47" s="1">
        <v>0</v>
      </c>
      <c r="N47" s="1">
        <v>0</v>
      </c>
    </row>
    <row r="48" spans="1:14" x14ac:dyDescent="0.3">
      <c r="A48" t="s">
        <v>126</v>
      </c>
      <c r="B48" t="s">
        <v>61</v>
      </c>
      <c r="C48" t="s">
        <v>60</v>
      </c>
      <c r="D48" t="s">
        <v>102</v>
      </c>
      <c r="E48" s="138">
        <v>15</v>
      </c>
      <c r="F48" s="28">
        <v>0.63500000000000001</v>
      </c>
      <c r="G48" s="30">
        <v>4</v>
      </c>
      <c r="H48" s="26" t="s">
        <v>101</v>
      </c>
      <c r="I48" s="26" t="s">
        <v>101</v>
      </c>
      <c r="K48" s="11">
        <v>0.5</v>
      </c>
      <c r="L48" s="11">
        <v>2</v>
      </c>
      <c r="M48" s="1">
        <v>0</v>
      </c>
      <c r="N48" s="1">
        <v>0</v>
      </c>
    </row>
    <row r="49" spans="1:14" x14ac:dyDescent="0.3">
      <c r="D49" t="s">
        <v>102</v>
      </c>
      <c r="E49" s="138"/>
      <c r="F49" s="28">
        <v>8.5000000000000006E-2</v>
      </c>
      <c r="G49" s="30"/>
      <c r="H49" s="26"/>
      <c r="I49" s="26"/>
      <c r="J49" s="1" t="s">
        <v>468</v>
      </c>
      <c r="K49" s="11"/>
      <c r="L49" s="11"/>
    </row>
    <row r="50" spans="1:14" x14ac:dyDescent="0.3">
      <c r="D50" t="s">
        <v>100</v>
      </c>
      <c r="E50" s="138"/>
      <c r="F50" s="28">
        <v>0.1</v>
      </c>
      <c r="G50" s="30"/>
      <c r="H50" s="26"/>
      <c r="I50" s="26"/>
      <c r="J50" s="1" t="s">
        <v>468</v>
      </c>
      <c r="K50" s="11"/>
      <c r="L50" s="11"/>
    </row>
    <row r="51" spans="1:14" x14ac:dyDescent="0.3">
      <c r="D51" t="s">
        <v>107</v>
      </c>
      <c r="E51" s="138"/>
      <c r="F51" s="28">
        <v>0.19400000000000001</v>
      </c>
      <c r="G51" s="30"/>
      <c r="H51" s="26"/>
      <c r="I51" s="26"/>
      <c r="J51" s="1" t="s">
        <v>468</v>
      </c>
      <c r="K51" s="11"/>
      <c r="L51" s="11"/>
    </row>
    <row r="52" spans="1:14" x14ac:dyDescent="0.3">
      <c r="D52" t="s">
        <v>102</v>
      </c>
      <c r="E52" s="138"/>
      <c r="F52" s="28">
        <v>0.25600000000000001</v>
      </c>
      <c r="G52" s="30"/>
      <c r="H52" s="26"/>
      <c r="I52" s="26"/>
      <c r="K52" s="11"/>
      <c r="L52" s="11"/>
    </row>
    <row r="53" spans="1:14" x14ac:dyDescent="0.3">
      <c r="A53" t="s">
        <v>127</v>
      </c>
      <c r="B53" t="s">
        <v>2</v>
      </c>
      <c r="C53" t="s">
        <v>51</v>
      </c>
      <c r="D53" t="s">
        <v>100</v>
      </c>
      <c r="E53" s="138">
        <v>15</v>
      </c>
      <c r="F53" s="28">
        <v>0.18</v>
      </c>
      <c r="G53" s="30">
        <v>1</v>
      </c>
      <c r="H53" s="26" t="s">
        <v>101</v>
      </c>
      <c r="I53" s="26" t="s">
        <v>101</v>
      </c>
      <c r="K53" s="11">
        <v>0.5</v>
      </c>
      <c r="L53" s="11">
        <v>2</v>
      </c>
      <c r="M53" s="1">
        <v>1</v>
      </c>
      <c r="N53" s="1">
        <v>0</v>
      </c>
    </row>
    <row r="54" spans="1:14" x14ac:dyDescent="0.3">
      <c r="A54" t="s">
        <v>128</v>
      </c>
      <c r="B54" t="s">
        <v>51</v>
      </c>
      <c r="C54" t="s">
        <v>54</v>
      </c>
      <c r="D54" t="s">
        <v>100</v>
      </c>
      <c r="E54" s="138">
        <v>15</v>
      </c>
      <c r="F54" s="28">
        <v>0.05</v>
      </c>
      <c r="G54" s="30">
        <v>1</v>
      </c>
      <c r="H54" s="26" t="s">
        <v>101</v>
      </c>
      <c r="I54" s="26" t="s">
        <v>101</v>
      </c>
      <c r="K54" s="11">
        <v>0.5</v>
      </c>
      <c r="L54" s="11">
        <v>2</v>
      </c>
      <c r="M54" s="1">
        <v>0</v>
      </c>
      <c r="N54" s="1">
        <v>0</v>
      </c>
    </row>
    <row r="55" spans="1:14" x14ac:dyDescent="0.3">
      <c r="A55" t="s">
        <v>129</v>
      </c>
      <c r="B55" t="s">
        <v>54</v>
      </c>
      <c r="C55" t="s">
        <v>53</v>
      </c>
      <c r="D55" t="s">
        <v>102</v>
      </c>
      <c r="E55" s="138">
        <v>15</v>
      </c>
      <c r="F55" s="28">
        <v>0.18</v>
      </c>
      <c r="G55" s="30">
        <v>1</v>
      </c>
      <c r="H55" s="26" t="s">
        <v>101</v>
      </c>
      <c r="I55" s="26" t="s">
        <v>101</v>
      </c>
      <c r="K55" s="11">
        <v>0.5</v>
      </c>
      <c r="L55" s="11">
        <v>2</v>
      </c>
      <c r="M55" s="1">
        <v>0</v>
      </c>
      <c r="N55" s="1">
        <v>0</v>
      </c>
    </row>
    <row r="56" spans="1:14" x14ac:dyDescent="0.3">
      <c r="A56" t="s">
        <v>130</v>
      </c>
      <c r="B56" t="s">
        <v>53</v>
      </c>
      <c r="C56" t="s">
        <v>56</v>
      </c>
      <c r="D56" t="s">
        <v>102</v>
      </c>
      <c r="E56" s="138">
        <v>15</v>
      </c>
      <c r="F56" s="28">
        <v>0.21</v>
      </c>
      <c r="G56" s="30">
        <v>3</v>
      </c>
      <c r="H56" s="26" t="s">
        <v>101</v>
      </c>
      <c r="I56" s="26" t="s">
        <v>101</v>
      </c>
      <c r="K56" s="11">
        <v>0.5</v>
      </c>
      <c r="L56" s="11">
        <v>2</v>
      </c>
      <c r="M56" s="1">
        <v>0</v>
      </c>
      <c r="N56" s="1">
        <v>0</v>
      </c>
    </row>
    <row r="57" spans="1:14" x14ac:dyDescent="0.3">
      <c r="D57" t="s">
        <v>102</v>
      </c>
      <c r="E57" s="138"/>
      <c r="F57" s="28">
        <v>0.08</v>
      </c>
      <c r="G57" s="30"/>
      <c r="H57" s="26"/>
      <c r="I57" s="26"/>
      <c r="J57" s="1" t="s">
        <v>468</v>
      </c>
      <c r="K57" s="11"/>
      <c r="L57" s="11"/>
    </row>
    <row r="58" spans="1:14" x14ac:dyDescent="0.3">
      <c r="D58" t="s">
        <v>111</v>
      </c>
      <c r="E58" s="138"/>
      <c r="F58" s="28">
        <v>0.08</v>
      </c>
      <c r="G58" s="30"/>
      <c r="H58" s="26"/>
      <c r="I58" s="26"/>
      <c r="J58" s="1" t="s">
        <v>468</v>
      </c>
      <c r="K58" s="11"/>
      <c r="L58" s="11"/>
    </row>
    <row r="59" spans="1:14" x14ac:dyDescent="0.3">
      <c r="D59" t="s">
        <v>102</v>
      </c>
      <c r="E59" s="138"/>
      <c r="F59" s="28">
        <v>0.05</v>
      </c>
      <c r="G59" s="30"/>
      <c r="H59" s="26"/>
      <c r="I59" s="26"/>
      <c r="K59" s="11"/>
      <c r="L59" s="11"/>
    </row>
    <row r="60" spans="1:14" x14ac:dyDescent="0.3">
      <c r="A60" t="s">
        <v>131</v>
      </c>
      <c r="B60" t="s">
        <v>56</v>
      </c>
      <c r="C60" t="s">
        <v>58</v>
      </c>
      <c r="D60" t="s">
        <v>116</v>
      </c>
      <c r="E60" s="138">
        <v>15</v>
      </c>
      <c r="F60" s="28">
        <v>0.25</v>
      </c>
      <c r="G60" s="30">
        <v>1</v>
      </c>
      <c r="H60" s="26" t="s">
        <v>101</v>
      </c>
      <c r="I60" s="26" t="s">
        <v>101</v>
      </c>
      <c r="K60" s="11">
        <v>0.5</v>
      </c>
      <c r="L60" s="11">
        <v>2</v>
      </c>
      <c r="M60" s="1">
        <v>0</v>
      </c>
      <c r="N60" s="1">
        <v>0</v>
      </c>
    </row>
    <row r="61" spans="1:14" x14ac:dyDescent="0.3">
      <c r="A61" t="s">
        <v>132</v>
      </c>
      <c r="B61" t="s">
        <v>58</v>
      </c>
      <c r="C61" t="s">
        <v>57</v>
      </c>
      <c r="D61" t="s">
        <v>116</v>
      </c>
      <c r="E61" s="138">
        <v>15</v>
      </c>
      <c r="F61" s="28">
        <v>0.25</v>
      </c>
      <c r="G61" s="30">
        <v>3</v>
      </c>
      <c r="H61" s="26" t="s">
        <v>101</v>
      </c>
      <c r="I61" s="26" t="s">
        <v>101</v>
      </c>
      <c r="K61" s="11">
        <v>0.5</v>
      </c>
      <c r="L61" s="11">
        <v>2</v>
      </c>
      <c r="M61" s="1">
        <v>0</v>
      </c>
      <c r="N61" s="1">
        <v>0</v>
      </c>
    </row>
    <row r="62" spans="1:14" x14ac:dyDescent="0.3">
      <c r="D62" t="s">
        <v>116</v>
      </c>
      <c r="E62" s="138"/>
      <c r="F62" s="28">
        <v>0.12</v>
      </c>
      <c r="G62" s="30"/>
      <c r="H62" s="26"/>
      <c r="I62" s="26"/>
      <c r="J62" s="1" t="s">
        <v>468</v>
      </c>
      <c r="K62" s="11"/>
      <c r="L62" s="11"/>
    </row>
    <row r="63" spans="1:14" x14ac:dyDescent="0.3">
      <c r="D63" t="s">
        <v>133</v>
      </c>
      <c r="E63" s="138"/>
      <c r="F63" s="28">
        <v>0.06</v>
      </c>
      <c r="G63" s="30"/>
      <c r="H63" s="26"/>
      <c r="I63" s="26"/>
      <c r="J63" s="1" t="s">
        <v>468</v>
      </c>
      <c r="K63" s="11"/>
      <c r="L63" s="11"/>
    </row>
    <row r="64" spans="1:14" x14ac:dyDescent="0.3">
      <c r="D64" t="s">
        <v>116</v>
      </c>
      <c r="E64" s="138"/>
      <c r="F64" s="28">
        <v>7.0000000000000007E-2</v>
      </c>
      <c r="G64" s="30"/>
      <c r="H64" s="26"/>
      <c r="I64" s="26"/>
      <c r="K64" s="11"/>
      <c r="L64" s="11"/>
    </row>
    <row r="65" spans="1:14" x14ac:dyDescent="0.3">
      <c r="A65" t="s">
        <v>134</v>
      </c>
      <c r="B65" t="s">
        <v>57</v>
      </c>
      <c r="C65" t="s">
        <v>55</v>
      </c>
      <c r="D65" t="s">
        <v>116</v>
      </c>
      <c r="E65" s="138">
        <v>15</v>
      </c>
      <c r="F65" s="28">
        <v>8.7999999999999995E-2</v>
      </c>
      <c r="G65" s="30">
        <v>2</v>
      </c>
      <c r="H65" s="26" t="s">
        <v>101</v>
      </c>
      <c r="I65" s="26" t="s">
        <v>101</v>
      </c>
      <c r="K65" s="11">
        <v>0.5</v>
      </c>
      <c r="L65" s="11">
        <v>2</v>
      </c>
      <c r="M65" s="1">
        <v>0</v>
      </c>
      <c r="N65" s="1">
        <v>0</v>
      </c>
    </row>
    <row r="66" spans="1:14" x14ac:dyDescent="0.3">
      <c r="D66" t="s">
        <v>116</v>
      </c>
      <c r="E66" s="138"/>
      <c r="F66" s="28">
        <v>7.0000000000000007E-2</v>
      </c>
      <c r="G66" s="30"/>
      <c r="H66" s="26"/>
      <c r="I66" s="26"/>
      <c r="J66" s="1" t="s">
        <v>468</v>
      </c>
      <c r="K66" s="11"/>
      <c r="L66" s="11"/>
    </row>
    <row r="67" spans="1:14" x14ac:dyDescent="0.3">
      <c r="D67" t="s">
        <v>118</v>
      </c>
      <c r="E67" s="138"/>
      <c r="F67" s="28">
        <v>1.7999999999999999E-2</v>
      </c>
      <c r="G67" s="30"/>
      <c r="H67" s="26"/>
      <c r="I67" s="26"/>
      <c r="K67" s="11"/>
      <c r="L67" s="11"/>
    </row>
    <row r="68" spans="1:14" x14ac:dyDescent="0.3">
      <c r="A68" t="s">
        <v>135</v>
      </c>
      <c r="B68" t="s">
        <v>53</v>
      </c>
      <c r="C68" t="s">
        <v>52</v>
      </c>
      <c r="D68" t="s">
        <v>118</v>
      </c>
      <c r="E68" s="138">
        <v>15</v>
      </c>
      <c r="F68" s="28">
        <v>2.5000000000000001E-2</v>
      </c>
      <c r="G68" s="30">
        <v>1</v>
      </c>
      <c r="H68" s="26" t="s">
        <v>101</v>
      </c>
      <c r="I68" s="26" t="s">
        <v>101</v>
      </c>
      <c r="K68" s="11">
        <v>0.5</v>
      </c>
      <c r="L68" s="11">
        <v>2</v>
      </c>
      <c r="M68" s="1">
        <v>0</v>
      </c>
      <c r="N68" s="1">
        <v>0</v>
      </c>
    </row>
    <row r="69" spans="1:14" x14ac:dyDescent="0.3">
      <c r="A69" t="s">
        <v>136</v>
      </c>
      <c r="B69" t="s">
        <v>2</v>
      </c>
      <c r="C69" t="s">
        <v>83</v>
      </c>
      <c r="D69" t="s">
        <v>100</v>
      </c>
      <c r="E69" s="138">
        <v>15</v>
      </c>
      <c r="F69" s="28">
        <v>2.5000000000000001E-2</v>
      </c>
      <c r="G69" s="30">
        <v>1</v>
      </c>
      <c r="H69" s="26" t="s">
        <v>101</v>
      </c>
      <c r="I69" s="26" t="s">
        <v>101</v>
      </c>
      <c r="K69" s="11">
        <v>0.5</v>
      </c>
      <c r="L69" s="11">
        <v>2</v>
      </c>
      <c r="M69" s="1">
        <v>1</v>
      </c>
      <c r="N69" s="1">
        <v>0</v>
      </c>
    </row>
    <row r="70" spans="1:14" x14ac:dyDescent="0.3">
      <c r="A70" t="s">
        <v>137</v>
      </c>
      <c r="B70" t="s">
        <v>83</v>
      </c>
      <c r="C70" t="s">
        <v>75</v>
      </c>
      <c r="D70" t="s">
        <v>133</v>
      </c>
      <c r="E70" s="138">
        <v>15</v>
      </c>
      <c r="F70" s="28">
        <v>0.04</v>
      </c>
      <c r="G70" s="30">
        <v>1</v>
      </c>
      <c r="H70" s="26" t="s">
        <v>101</v>
      </c>
      <c r="I70" s="26" t="s">
        <v>101</v>
      </c>
      <c r="K70" s="11">
        <v>0.5</v>
      </c>
      <c r="L70" s="11">
        <v>2</v>
      </c>
      <c r="M70" s="1">
        <v>0</v>
      </c>
      <c r="N70" s="1">
        <v>0</v>
      </c>
    </row>
    <row r="71" spans="1:14" x14ac:dyDescent="0.3">
      <c r="A71" t="s">
        <v>138</v>
      </c>
      <c r="B71" t="s">
        <v>75</v>
      </c>
      <c r="C71" t="s">
        <v>79</v>
      </c>
      <c r="D71" t="s">
        <v>133</v>
      </c>
      <c r="E71" s="138">
        <v>15</v>
      </c>
      <c r="F71" s="28">
        <v>7.0000000000000007E-2</v>
      </c>
      <c r="G71" s="30">
        <v>1</v>
      </c>
      <c r="H71" s="26" t="s">
        <v>101</v>
      </c>
      <c r="I71" s="26" t="s">
        <v>101</v>
      </c>
      <c r="K71" s="11">
        <v>0.5</v>
      </c>
      <c r="L71" s="11">
        <v>2</v>
      </c>
      <c r="M71" s="1">
        <v>0</v>
      </c>
      <c r="N71" s="1">
        <v>0</v>
      </c>
    </row>
    <row r="72" spans="1:14" x14ac:dyDescent="0.3">
      <c r="A72" t="s">
        <v>139</v>
      </c>
      <c r="B72" t="s">
        <v>79</v>
      </c>
      <c r="C72" t="s">
        <v>73</v>
      </c>
      <c r="D72" t="s">
        <v>116</v>
      </c>
      <c r="E72" s="138">
        <v>15</v>
      </c>
      <c r="F72" s="28">
        <v>0.28999999999999998</v>
      </c>
      <c r="G72" s="30">
        <v>2</v>
      </c>
      <c r="H72" s="26" t="s">
        <v>101</v>
      </c>
      <c r="I72" s="26" t="s">
        <v>101</v>
      </c>
      <c r="K72" s="11">
        <v>0.5</v>
      </c>
      <c r="L72" s="11">
        <v>2</v>
      </c>
      <c r="M72" s="1">
        <v>0</v>
      </c>
      <c r="N72" s="1">
        <v>0</v>
      </c>
    </row>
    <row r="73" spans="1:14" x14ac:dyDescent="0.3">
      <c r="D73" t="s">
        <v>116</v>
      </c>
      <c r="E73" s="138"/>
      <c r="F73" s="28">
        <v>0.22</v>
      </c>
      <c r="G73" s="30"/>
      <c r="H73" s="26"/>
      <c r="I73" s="26"/>
      <c r="J73" s="1" t="s">
        <v>468</v>
      </c>
      <c r="K73" s="11"/>
      <c r="L73" s="11"/>
    </row>
    <row r="74" spans="1:14" x14ac:dyDescent="0.3">
      <c r="D74" t="s">
        <v>100</v>
      </c>
      <c r="E74" s="138"/>
      <c r="F74" s="28">
        <v>7.0000000000000007E-2</v>
      </c>
      <c r="G74" s="30"/>
      <c r="H74" s="26"/>
      <c r="I74" s="26"/>
      <c r="K74" s="11"/>
      <c r="L74" s="11"/>
    </row>
    <row r="75" spans="1:14" x14ac:dyDescent="0.3">
      <c r="A75" t="s">
        <v>140</v>
      </c>
      <c r="B75" t="s">
        <v>73</v>
      </c>
      <c r="C75" t="s">
        <v>77</v>
      </c>
      <c r="D75" t="s">
        <v>116</v>
      </c>
      <c r="E75" s="138">
        <v>15</v>
      </c>
      <c r="F75" s="28">
        <v>0.25</v>
      </c>
      <c r="G75" s="30">
        <v>2</v>
      </c>
      <c r="H75" s="26" t="s">
        <v>101</v>
      </c>
      <c r="I75" s="26" t="s">
        <v>101</v>
      </c>
      <c r="K75" s="11">
        <v>0.5</v>
      </c>
      <c r="L75" s="11">
        <v>2</v>
      </c>
      <c r="M75" s="1">
        <v>0</v>
      </c>
      <c r="N75" s="1">
        <v>0</v>
      </c>
    </row>
    <row r="76" spans="1:14" x14ac:dyDescent="0.3">
      <c r="D76" t="s">
        <v>116</v>
      </c>
      <c r="E76" s="138"/>
      <c r="F76" s="28">
        <v>0.18</v>
      </c>
      <c r="G76" s="30"/>
      <c r="H76" s="26"/>
      <c r="I76" s="26"/>
      <c r="J76" s="1" t="s">
        <v>468</v>
      </c>
      <c r="K76" s="11"/>
      <c r="L76" s="11"/>
    </row>
    <row r="77" spans="1:14" x14ac:dyDescent="0.3">
      <c r="D77" t="s">
        <v>100</v>
      </c>
      <c r="E77" s="138"/>
      <c r="F77" s="28">
        <v>7.0000000000000007E-2</v>
      </c>
      <c r="G77" s="30"/>
      <c r="H77" s="26"/>
      <c r="I77" s="26"/>
      <c r="K77" s="11"/>
      <c r="L77" s="11"/>
    </row>
    <row r="78" spans="1:14" x14ac:dyDescent="0.3">
      <c r="A78" t="s">
        <v>141</v>
      </c>
      <c r="B78" t="s">
        <v>77</v>
      </c>
      <c r="C78" t="s">
        <v>72</v>
      </c>
      <c r="D78" t="s">
        <v>116</v>
      </c>
      <c r="E78" s="138">
        <v>15</v>
      </c>
      <c r="F78" s="28">
        <v>0.5</v>
      </c>
      <c r="G78" s="30">
        <v>3</v>
      </c>
      <c r="H78" s="26" t="s">
        <v>101</v>
      </c>
      <c r="I78" s="26" t="s">
        <v>101</v>
      </c>
      <c r="K78" s="11">
        <v>0.5</v>
      </c>
      <c r="L78" s="11">
        <v>2</v>
      </c>
      <c r="M78" s="1">
        <v>0</v>
      </c>
      <c r="N78" s="1">
        <v>0</v>
      </c>
    </row>
    <row r="79" spans="1:14" x14ac:dyDescent="0.3">
      <c r="D79" t="s">
        <v>116</v>
      </c>
      <c r="E79" s="138"/>
      <c r="F79" s="28">
        <v>0.2</v>
      </c>
      <c r="G79" s="30"/>
      <c r="H79" s="26"/>
      <c r="I79" s="26"/>
      <c r="J79" s="1" t="s">
        <v>468</v>
      </c>
      <c r="K79" s="11"/>
      <c r="L79" s="11"/>
    </row>
    <row r="80" spans="1:14" x14ac:dyDescent="0.3">
      <c r="D80" t="s">
        <v>142</v>
      </c>
      <c r="E80" s="138"/>
      <c r="F80" s="28">
        <v>0.15</v>
      </c>
      <c r="G80" s="30"/>
      <c r="H80" s="26"/>
      <c r="I80" s="26"/>
      <c r="J80" s="1" t="s">
        <v>468</v>
      </c>
      <c r="K80" s="11"/>
      <c r="L80" s="11"/>
    </row>
    <row r="81" spans="1:14" x14ac:dyDescent="0.3">
      <c r="D81" t="s">
        <v>133</v>
      </c>
      <c r="E81" s="138"/>
      <c r="F81" s="28">
        <v>0.15</v>
      </c>
      <c r="G81" s="30"/>
      <c r="H81" s="26"/>
      <c r="I81" s="26"/>
      <c r="K81" s="11"/>
      <c r="L81" s="11"/>
    </row>
    <row r="82" spans="1:14" x14ac:dyDescent="0.3">
      <c r="A82" t="s">
        <v>143</v>
      </c>
      <c r="B82" t="s">
        <v>72</v>
      </c>
      <c r="C82" t="s">
        <v>82</v>
      </c>
      <c r="D82" t="s">
        <v>133</v>
      </c>
      <c r="E82" s="138">
        <v>15</v>
      </c>
      <c r="F82" s="28">
        <v>0.25</v>
      </c>
      <c r="G82" s="30">
        <v>1</v>
      </c>
      <c r="H82" s="26" t="s">
        <v>101</v>
      </c>
      <c r="I82" s="26" t="s">
        <v>101</v>
      </c>
      <c r="K82" s="11">
        <v>0.5</v>
      </c>
      <c r="L82" s="11">
        <v>2</v>
      </c>
      <c r="M82" s="1">
        <v>0</v>
      </c>
      <c r="N82" s="1">
        <v>0</v>
      </c>
    </row>
    <row r="83" spans="1:14" x14ac:dyDescent="0.3">
      <c r="A83" t="s">
        <v>144</v>
      </c>
      <c r="B83" t="s">
        <v>82</v>
      </c>
      <c r="C83" t="s">
        <v>81</v>
      </c>
      <c r="D83" t="s">
        <v>116</v>
      </c>
      <c r="E83" s="138">
        <v>15</v>
      </c>
      <c r="F83" s="28">
        <v>0.42</v>
      </c>
      <c r="G83" s="30">
        <v>1</v>
      </c>
      <c r="H83" s="26" t="s">
        <v>101</v>
      </c>
      <c r="I83" s="26" t="s">
        <v>101</v>
      </c>
      <c r="K83" s="11">
        <v>0.5</v>
      </c>
      <c r="L83" s="11">
        <v>2</v>
      </c>
      <c r="M83" s="1">
        <v>0</v>
      </c>
      <c r="N83" s="1">
        <v>0</v>
      </c>
    </row>
    <row r="84" spans="1:14" x14ac:dyDescent="0.3">
      <c r="A84" t="s">
        <v>145</v>
      </c>
      <c r="B84" t="s">
        <v>81</v>
      </c>
      <c r="C84" t="s">
        <v>84</v>
      </c>
      <c r="D84" t="s">
        <v>116</v>
      </c>
      <c r="E84" s="138">
        <v>15</v>
      </c>
      <c r="F84" s="28">
        <v>0.22</v>
      </c>
      <c r="G84" s="30">
        <v>1</v>
      </c>
      <c r="H84" s="26" t="s">
        <v>101</v>
      </c>
      <c r="I84" s="26" t="s">
        <v>101</v>
      </c>
      <c r="K84" s="11">
        <v>0.5</v>
      </c>
      <c r="L84" s="11">
        <v>2</v>
      </c>
      <c r="M84" s="1">
        <v>0</v>
      </c>
      <c r="N84" s="1">
        <v>0</v>
      </c>
    </row>
    <row r="85" spans="1:14" x14ac:dyDescent="0.3">
      <c r="A85" t="s">
        <v>146</v>
      </c>
      <c r="B85" t="s">
        <v>84</v>
      </c>
      <c r="C85" t="s">
        <v>78</v>
      </c>
      <c r="D85" t="s">
        <v>118</v>
      </c>
      <c r="E85" s="138">
        <v>15</v>
      </c>
      <c r="F85" s="28">
        <v>0.23699999999999999</v>
      </c>
      <c r="G85" s="30">
        <v>1</v>
      </c>
      <c r="H85" s="26" t="s">
        <v>101</v>
      </c>
      <c r="I85" s="26" t="s">
        <v>101</v>
      </c>
      <c r="K85" s="11">
        <v>0.5</v>
      </c>
      <c r="L85" s="11">
        <v>2</v>
      </c>
      <c r="M85" s="1">
        <v>0</v>
      </c>
      <c r="N85" s="1">
        <v>0</v>
      </c>
    </row>
    <row r="86" spans="1:14" x14ac:dyDescent="0.3">
      <c r="A86" t="s">
        <v>147</v>
      </c>
      <c r="B86" t="s">
        <v>78</v>
      </c>
      <c r="C86" t="s">
        <v>86</v>
      </c>
      <c r="D86" t="s">
        <v>118</v>
      </c>
      <c r="E86" s="138">
        <v>15</v>
      </c>
      <c r="F86" s="28">
        <v>0.18099999999999999</v>
      </c>
      <c r="G86" s="30">
        <v>1</v>
      </c>
      <c r="H86" s="26" t="s">
        <v>101</v>
      </c>
      <c r="I86" s="26" t="s">
        <v>101</v>
      </c>
      <c r="K86" s="11">
        <v>0.5</v>
      </c>
      <c r="L86" s="11">
        <v>2</v>
      </c>
      <c r="M86" s="1">
        <v>0</v>
      </c>
      <c r="N86" s="1">
        <v>0</v>
      </c>
    </row>
    <row r="87" spans="1:14" x14ac:dyDescent="0.3">
      <c r="A87" t="s">
        <v>148</v>
      </c>
      <c r="B87" t="s">
        <v>86</v>
      </c>
      <c r="C87" t="s">
        <v>74</v>
      </c>
      <c r="D87" t="s">
        <v>149</v>
      </c>
      <c r="E87" s="138">
        <v>15</v>
      </c>
      <c r="F87" s="28">
        <v>0.34</v>
      </c>
      <c r="G87" s="30">
        <v>1</v>
      </c>
      <c r="H87" s="26" t="s">
        <v>101</v>
      </c>
      <c r="I87" s="26" t="s">
        <v>101</v>
      </c>
      <c r="K87" s="11">
        <v>0.5</v>
      </c>
      <c r="L87" s="11">
        <v>2</v>
      </c>
      <c r="M87" s="1">
        <v>0</v>
      </c>
      <c r="N87" s="1">
        <v>0</v>
      </c>
    </row>
    <row r="88" spans="1:14" x14ac:dyDescent="0.3">
      <c r="A88" t="s">
        <v>150</v>
      </c>
      <c r="B88" t="s">
        <v>74</v>
      </c>
      <c r="C88" t="s">
        <v>80</v>
      </c>
      <c r="D88" t="s">
        <v>149</v>
      </c>
      <c r="E88" s="138">
        <v>15</v>
      </c>
      <c r="F88" s="28">
        <v>7.0000000000000007E-2</v>
      </c>
      <c r="G88" s="30">
        <v>1</v>
      </c>
      <c r="H88" s="26" t="s">
        <v>101</v>
      </c>
      <c r="I88" s="26" t="s">
        <v>101</v>
      </c>
      <c r="K88" s="11">
        <v>0.5</v>
      </c>
      <c r="L88" s="11">
        <v>2</v>
      </c>
      <c r="M88" s="1">
        <v>0</v>
      </c>
      <c r="N88" s="1">
        <v>0</v>
      </c>
    </row>
    <row r="89" spans="1:14" x14ac:dyDescent="0.3">
      <c r="A89" t="s">
        <v>151</v>
      </c>
      <c r="B89" t="s">
        <v>80</v>
      </c>
      <c r="C89" t="s">
        <v>76</v>
      </c>
      <c r="D89" t="s">
        <v>116</v>
      </c>
      <c r="E89" s="138">
        <v>15</v>
      </c>
      <c r="F89" s="28">
        <v>0.84</v>
      </c>
      <c r="G89" s="30">
        <v>2</v>
      </c>
      <c r="H89" s="26" t="s">
        <v>101</v>
      </c>
      <c r="I89" s="26" t="s">
        <v>101</v>
      </c>
      <c r="K89" s="11">
        <v>0.5</v>
      </c>
      <c r="L89" s="11">
        <v>2</v>
      </c>
      <c r="M89" s="1">
        <v>0</v>
      </c>
      <c r="N89" s="1">
        <v>0</v>
      </c>
    </row>
    <row r="90" spans="1:14" x14ac:dyDescent="0.3">
      <c r="D90" t="s">
        <v>116</v>
      </c>
      <c r="E90" s="138"/>
      <c r="F90" s="28">
        <v>0.48</v>
      </c>
      <c r="G90" s="30"/>
      <c r="H90" s="26"/>
      <c r="I90" s="26"/>
      <c r="J90" s="1" t="s">
        <v>468</v>
      </c>
      <c r="K90" s="11"/>
      <c r="L90" s="11"/>
    </row>
    <row r="91" spans="1:14" x14ac:dyDescent="0.3">
      <c r="D91" t="s">
        <v>118</v>
      </c>
      <c r="E91" s="138"/>
      <c r="F91" s="28">
        <v>0.36</v>
      </c>
      <c r="G91" s="30"/>
      <c r="H91" s="26"/>
      <c r="I91" s="26"/>
      <c r="K91" s="11"/>
      <c r="L91" s="11"/>
    </row>
    <row r="92" spans="1:14" x14ac:dyDescent="0.3">
      <c r="A92" t="s">
        <v>152</v>
      </c>
      <c r="B92" t="s">
        <v>76</v>
      </c>
      <c r="C92" t="s">
        <v>85</v>
      </c>
      <c r="D92" t="s">
        <v>118</v>
      </c>
      <c r="E92" s="138">
        <v>15</v>
      </c>
      <c r="F92" s="28">
        <v>0.38</v>
      </c>
      <c r="G92" s="30">
        <v>2</v>
      </c>
      <c r="H92" s="26" t="s">
        <v>101</v>
      </c>
      <c r="I92" s="26" t="s">
        <v>101</v>
      </c>
      <c r="K92" s="11">
        <v>0.5</v>
      </c>
      <c r="L92" s="11">
        <v>2</v>
      </c>
      <c r="M92" s="1">
        <v>0</v>
      </c>
      <c r="N92" s="1">
        <v>0</v>
      </c>
    </row>
    <row r="93" spans="1:14" x14ac:dyDescent="0.3">
      <c r="D93" t="s">
        <v>116</v>
      </c>
      <c r="E93" s="138"/>
      <c r="F93" s="28">
        <v>0.02</v>
      </c>
      <c r="G93" s="30"/>
      <c r="H93" s="26"/>
      <c r="I93" s="26"/>
      <c r="J93" s="1" t="s">
        <v>468</v>
      </c>
      <c r="K93" s="11"/>
      <c r="L93" s="11"/>
      <c r="N93" s="1">
        <v>0</v>
      </c>
    </row>
    <row r="94" spans="1:14" x14ac:dyDescent="0.3">
      <c r="D94" t="s">
        <v>118</v>
      </c>
      <c r="E94" s="138"/>
      <c r="F94" s="28">
        <v>0.36</v>
      </c>
      <c r="G94" s="30"/>
      <c r="H94" s="26"/>
      <c r="I94" s="26"/>
      <c r="K94" s="11"/>
      <c r="L94" s="11"/>
    </row>
    <row r="95" spans="1:14" x14ac:dyDescent="0.3">
      <c r="A95" t="s">
        <v>153</v>
      </c>
      <c r="B95" t="s">
        <v>2</v>
      </c>
      <c r="C95" t="s">
        <v>21</v>
      </c>
      <c r="D95" t="s">
        <v>111</v>
      </c>
      <c r="E95" s="138">
        <v>15</v>
      </c>
      <c r="F95" s="28">
        <v>0.52700000000000002</v>
      </c>
      <c r="G95" s="30">
        <v>3</v>
      </c>
      <c r="H95" s="26" t="s">
        <v>101</v>
      </c>
      <c r="I95" s="26" t="s">
        <v>101</v>
      </c>
      <c r="K95" s="11">
        <v>0.5</v>
      </c>
      <c r="L95" s="11">
        <v>2</v>
      </c>
      <c r="M95" s="1">
        <v>1</v>
      </c>
      <c r="N95" s="1">
        <v>0</v>
      </c>
    </row>
    <row r="96" spans="1:14" x14ac:dyDescent="0.3">
      <c r="D96" t="s">
        <v>118</v>
      </c>
      <c r="E96" s="138"/>
      <c r="F96" s="28">
        <v>4.7E-2</v>
      </c>
      <c r="G96" s="30"/>
      <c r="H96" s="26"/>
      <c r="I96" s="26"/>
      <c r="J96" s="1" t="s">
        <v>468</v>
      </c>
      <c r="K96" s="11"/>
      <c r="L96" s="11"/>
    </row>
    <row r="97" spans="1:14" x14ac:dyDescent="0.3">
      <c r="D97" t="s">
        <v>111</v>
      </c>
      <c r="E97" s="138"/>
      <c r="F97" s="28">
        <v>0.41</v>
      </c>
      <c r="G97" s="30"/>
      <c r="H97" s="26"/>
      <c r="I97" s="26"/>
      <c r="J97" s="1" t="s">
        <v>468</v>
      </c>
      <c r="K97" s="11"/>
      <c r="L97" s="11"/>
    </row>
    <row r="98" spans="1:14" x14ac:dyDescent="0.3">
      <c r="D98" t="s">
        <v>109</v>
      </c>
      <c r="E98" s="138"/>
      <c r="F98" s="28">
        <v>7.0000000000000007E-2</v>
      </c>
      <c r="G98" s="30"/>
      <c r="H98" s="26"/>
      <c r="I98" s="26"/>
      <c r="K98" s="11"/>
      <c r="L98" s="11"/>
    </row>
    <row r="99" spans="1:14" x14ac:dyDescent="0.3">
      <c r="A99" t="s">
        <v>154</v>
      </c>
      <c r="B99" t="s">
        <v>21</v>
      </c>
      <c r="C99" t="s">
        <v>23</v>
      </c>
      <c r="D99" t="s">
        <v>102</v>
      </c>
      <c r="E99" s="138">
        <v>15</v>
      </c>
      <c r="F99" s="28">
        <v>0.125</v>
      </c>
      <c r="G99" s="30">
        <v>1</v>
      </c>
      <c r="H99" s="26" t="s">
        <v>101</v>
      </c>
      <c r="I99" s="26" t="s">
        <v>101</v>
      </c>
      <c r="K99" s="11">
        <v>0.5</v>
      </c>
      <c r="L99" s="11">
        <v>2</v>
      </c>
      <c r="M99" s="1">
        <v>0</v>
      </c>
      <c r="N99" s="1">
        <v>0</v>
      </c>
    </row>
    <row r="100" spans="1:14" x14ac:dyDescent="0.3">
      <c r="A100" t="s">
        <v>155</v>
      </c>
      <c r="B100" t="s">
        <v>21</v>
      </c>
      <c r="C100" t="s">
        <v>22</v>
      </c>
      <c r="D100" t="s">
        <v>111</v>
      </c>
      <c r="E100" s="138">
        <v>15</v>
      </c>
      <c r="F100" s="28">
        <v>0.3</v>
      </c>
      <c r="G100" s="30">
        <v>3</v>
      </c>
      <c r="H100" s="26" t="s">
        <v>101</v>
      </c>
      <c r="I100" s="26" t="s">
        <v>101</v>
      </c>
      <c r="K100" s="11">
        <v>0.5</v>
      </c>
      <c r="L100" s="11">
        <v>2</v>
      </c>
      <c r="M100" s="1">
        <v>0</v>
      </c>
      <c r="N100" s="1">
        <v>0</v>
      </c>
    </row>
    <row r="101" spans="1:14" x14ac:dyDescent="0.3">
      <c r="D101" t="s">
        <v>116</v>
      </c>
      <c r="E101" s="138"/>
      <c r="F101" s="28">
        <v>0.04</v>
      </c>
      <c r="G101" s="30"/>
      <c r="H101" s="26"/>
      <c r="I101" s="26"/>
      <c r="J101" s="1" t="s">
        <v>468</v>
      </c>
      <c r="K101" s="11"/>
      <c r="L101" s="11"/>
    </row>
    <row r="102" spans="1:14" x14ac:dyDescent="0.3">
      <c r="D102" t="s">
        <v>111</v>
      </c>
      <c r="E102" s="138"/>
      <c r="F102" s="28">
        <v>0.22500000000000001</v>
      </c>
      <c r="G102" s="30"/>
      <c r="H102" s="26"/>
      <c r="I102" s="26"/>
      <c r="J102" s="1" t="s">
        <v>468</v>
      </c>
      <c r="K102" s="11"/>
      <c r="L102" s="11"/>
    </row>
    <row r="103" spans="1:14" x14ac:dyDescent="0.3">
      <c r="D103" t="s">
        <v>133</v>
      </c>
      <c r="E103" s="138"/>
      <c r="F103" s="28">
        <v>3.5000000000000003E-2</v>
      </c>
      <c r="G103" s="30"/>
      <c r="H103" s="26"/>
      <c r="I103" s="26"/>
      <c r="K103" s="11"/>
      <c r="L103" s="11"/>
    </row>
    <row r="104" spans="1:14" x14ac:dyDescent="0.3">
      <c r="A104" t="s">
        <v>156</v>
      </c>
      <c r="B104" t="s">
        <v>2</v>
      </c>
      <c r="C104" t="s">
        <v>89</v>
      </c>
      <c r="D104" t="s">
        <v>111</v>
      </c>
      <c r="E104" s="138">
        <v>15</v>
      </c>
      <c r="F104" s="28">
        <v>0.23300000000000001</v>
      </c>
      <c r="G104" s="30">
        <v>3</v>
      </c>
      <c r="H104" s="26" t="s">
        <v>101</v>
      </c>
      <c r="I104" s="26" t="s">
        <v>101</v>
      </c>
      <c r="K104" s="11">
        <v>0.5</v>
      </c>
      <c r="L104" s="11">
        <v>2</v>
      </c>
      <c r="M104" s="1">
        <v>1</v>
      </c>
      <c r="N104" s="1">
        <v>0</v>
      </c>
    </row>
    <row r="105" spans="1:14" x14ac:dyDescent="0.3">
      <c r="D105" t="s">
        <v>142</v>
      </c>
      <c r="E105" s="138"/>
      <c r="F105" s="28">
        <v>8.3000000000000004E-2</v>
      </c>
      <c r="G105" s="30"/>
      <c r="H105" s="26"/>
      <c r="I105" s="26"/>
      <c r="J105" s="1" t="s">
        <v>468</v>
      </c>
      <c r="K105" s="11"/>
      <c r="L105" s="11"/>
    </row>
    <row r="106" spans="1:14" x14ac:dyDescent="0.3">
      <c r="D106" t="s">
        <v>111</v>
      </c>
      <c r="E106" s="138"/>
      <c r="F106" s="28">
        <v>0.1</v>
      </c>
      <c r="G106" s="30"/>
      <c r="H106" s="26"/>
      <c r="I106" s="26"/>
      <c r="J106" s="1" t="s">
        <v>468</v>
      </c>
      <c r="K106" s="11"/>
      <c r="L106" s="11"/>
    </row>
    <row r="107" spans="1:14" x14ac:dyDescent="0.3">
      <c r="D107" t="s">
        <v>109</v>
      </c>
      <c r="E107" s="138"/>
      <c r="F107" s="28">
        <v>0.05</v>
      </c>
      <c r="G107" s="30"/>
      <c r="H107" s="26"/>
      <c r="I107" s="26"/>
      <c r="K107" s="11"/>
      <c r="L107" s="11"/>
    </row>
    <row r="108" spans="1:14" x14ac:dyDescent="0.3">
      <c r="A108" t="s">
        <v>157</v>
      </c>
      <c r="B108" t="s">
        <v>89</v>
      </c>
      <c r="C108" t="s">
        <v>88</v>
      </c>
      <c r="D108" t="s">
        <v>142</v>
      </c>
      <c r="E108" s="138">
        <v>15</v>
      </c>
      <c r="F108" s="28">
        <v>1.25</v>
      </c>
      <c r="G108" s="30">
        <v>3</v>
      </c>
      <c r="H108" s="26" t="s">
        <v>101</v>
      </c>
      <c r="I108" s="26" t="s">
        <v>101</v>
      </c>
      <c r="K108" s="11">
        <v>0.5</v>
      </c>
      <c r="L108" s="11">
        <v>2</v>
      </c>
      <c r="M108" s="1">
        <v>0</v>
      </c>
      <c r="N108" s="1">
        <v>0</v>
      </c>
    </row>
    <row r="109" spans="1:14" x14ac:dyDescent="0.3">
      <c r="D109" t="s">
        <v>142</v>
      </c>
      <c r="E109" s="138"/>
      <c r="F109" s="28">
        <v>0.78</v>
      </c>
      <c r="G109" s="30"/>
      <c r="H109" s="26"/>
      <c r="I109" s="26"/>
      <c r="J109" s="1" t="s">
        <v>468</v>
      </c>
      <c r="K109" s="11"/>
      <c r="L109" s="11"/>
    </row>
    <row r="110" spans="1:14" x14ac:dyDescent="0.3">
      <c r="D110" t="s">
        <v>100</v>
      </c>
      <c r="E110" s="138"/>
      <c r="F110" s="28">
        <v>0.05</v>
      </c>
      <c r="G110" s="30"/>
      <c r="H110" s="26"/>
      <c r="I110" s="26"/>
      <c r="J110" s="1" t="s">
        <v>468</v>
      </c>
      <c r="K110" s="11"/>
      <c r="L110" s="11"/>
    </row>
    <row r="111" spans="1:14" x14ac:dyDescent="0.3">
      <c r="D111" t="s">
        <v>142</v>
      </c>
      <c r="E111" s="138"/>
      <c r="F111" s="28">
        <v>0.42</v>
      </c>
      <c r="G111" s="30"/>
      <c r="H111" s="26"/>
      <c r="I111" s="26"/>
      <c r="K111" s="11"/>
      <c r="L111" s="11"/>
    </row>
    <row r="112" spans="1:14" x14ac:dyDescent="0.3">
      <c r="A112" t="s">
        <v>158</v>
      </c>
      <c r="B112" t="s">
        <v>88</v>
      </c>
      <c r="C112" t="s">
        <v>91</v>
      </c>
      <c r="D112" t="s">
        <v>133</v>
      </c>
      <c r="E112" s="138">
        <v>15</v>
      </c>
      <c r="F112" s="28">
        <v>0.15</v>
      </c>
      <c r="G112" s="30">
        <v>1</v>
      </c>
      <c r="H112" s="26" t="s">
        <v>101</v>
      </c>
      <c r="I112" s="26" t="s">
        <v>101</v>
      </c>
      <c r="K112" s="11">
        <v>0.5</v>
      </c>
      <c r="L112" s="11">
        <v>2</v>
      </c>
      <c r="M112" s="1">
        <v>0</v>
      </c>
      <c r="N112" s="1">
        <v>0</v>
      </c>
    </row>
    <row r="113" spans="1:14" x14ac:dyDescent="0.3">
      <c r="A113" t="s">
        <v>159</v>
      </c>
      <c r="B113" t="s">
        <v>91</v>
      </c>
      <c r="C113" t="s">
        <v>90</v>
      </c>
      <c r="D113" t="s">
        <v>118</v>
      </c>
      <c r="E113" s="138">
        <v>15</v>
      </c>
      <c r="F113" s="28">
        <v>0.53</v>
      </c>
      <c r="G113" s="30">
        <v>2</v>
      </c>
      <c r="H113" s="26" t="s">
        <v>101</v>
      </c>
      <c r="I113" s="26" t="s">
        <v>101</v>
      </c>
      <c r="K113" s="11">
        <v>0.5</v>
      </c>
      <c r="L113" s="11">
        <v>2</v>
      </c>
      <c r="M113" s="1">
        <v>0</v>
      </c>
      <c r="N113" s="1">
        <v>0</v>
      </c>
    </row>
    <row r="114" spans="1:14" x14ac:dyDescent="0.3">
      <c r="D114" t="s">
        <v>118</v>
      </c>
      <c r="E114" s="138"/>
      <c r="F114" s="28">
        <v>0.4</v>
      </c>
      <c r="G114" s="30"/>
      <c r="H114" s="26"/>
      <c r="I114" s="26"/>
      <c r="J114" s="1" t="s">
        <v>468</v>
      </c>
      <c r="K114" s="11"/>
      <c r="L114" s="11"/>
    </row>
    <row r="115" spans="1:14" x14ac:dyDescent="0.3">
      <c r="D115" t="s">
        <v>100</v>
      </c>
      <c r="E115" s="138"/>
      <c r="F115" s="28">
        <v>0.13</v>
      </c>
      <c r="G115" s="30"/>
      <c r="H115" s="26"/>
      <c r="I115" s="26"/>
      <c r="K115" s="11"/>
      <c r="L115" s="11"/>
    </row>
    <row r="116" spans="1:14" x14ac:dyDescent="0.3">
      <c r="A116" t="s">
        <v>160</v>
      </c>
      <c r="B116" t="s">
        <v>88</v>
      </c>
      <c r="C116" t="s">
        <v>97</v>
      </c>
      <c r="D116" t="s">
        <v>133</v>
      </c>
      <c r="E116" s="138">
        <v>15</v>
      </c>
      <c r="F116" s="29">
        <v>0.37</v>
      </c>
      <c r="G116" s="3">
        <v>1</v>
      </c>
      <c r="H116" s="31" t="s">
        <v>101</v>
      </c>
      <c r="I116" s="31" t="s">
        <v>101</v>
      </c>
      <c r="K116" s="11">
        <v>0.5</v>
      </c>
      <c r="L116" s="11">
        <v>2</v>
      </c>
      <c r="M116" s="1">
        <v>0</v>
      </c>
      <c r="N116" s="1">
        <v>0</v>
      </c>
    </row>
    <row r="117" spans="1:14" x14ac:dyDescent="0.3">
      <c r="A117" t="s">
        <v>161</v>
      </c>
      <c r="B117" t="s">
        <v>97</v>
      </c>
      <c r="C117" t="s">
        <v>96</v>
      </c>
      <c r="D117" t="s">
        <v>116</v>
      </c>
      <c r="E117" s="138">
        <v>15</v>
      </c>
      <c r="F117" s="29">
        <v>0.25</v>
      </c>
      <c r="G117" s="3">
        <v>1</v>
      </c>
      <c r="H117" s="31" t="s">
        <v>101</v>
      </c>
      <c r="I117" s="31" t="s">
        <v>101</v>
      </c>
      <c r="K117" s="11">
        <v>0.5</v>
      </c>
      <c r="L117" s="11">
        <v>2</v>
      </c>
      <c r="M117" s="1">
        <v>0</v>
      </c>
      <c r="N117" s="1">
        <v>0</v>
      </c>
    </row>
    <row r="118" spans="1:14" x14ac:dyDescent="0.3">
      <c r="A118" t="s">
        <v>162</v>
      </c>
      <c r="B118" t="s">
        <v>96</v>
      </c>
      <c r="C118" t="s">
        <v>94</v>
      </c>
      <c r="D118" t="s">
        <v>149</v>
      </c>
      <c r="E118" s="138">
        <v>15</v>
      </c>
      <c r="F118" s="29">
        <v>0.2</v>
      </c>
      <c r="G118" s="3">
        <v>2</v>
      </c>
      <c r="H118" s="31" t="s">
        <v>101</v>
      </c>
      <c r="I118" s="31" t="s">
        <v>101</v>
      </c>
      <c r="K118" s="11">
        <v>0.5</v>
      </c>
      <c r="L118" s="11">
        <v>2</v>
      </c>
      <c r="M118" s="1">
        <v>0</v>
      </c>
      <c r="N118" s="1">
        <v>0</v>
      </c>
    </row>
    <row r="119" spans="1:14" x14ac:dyDescent="0.3">
      <c r="D119" t="s">
        <v>149</v>
      </c>
      <c r="E119" s="138"/>
      <c r="F119" s="29">
        <v>0.19</v>
      </c>
      <c r="J119" s="1" t="s">
        <v>468</v>
      </c>
      <c r="K119" s="11"/>
      <c r="L119" s="11"/>
    </row>
    <row r="120" spans="1:14" x14ac:dyDescent="0.3">
      <c r="D120" t="s">
        <v>118</v>
      </c>
      <c r="E120" s="138"/>
      <c r="F120" s="29">
        <v>0.01</v>
      </c>
      <c r="K120" s="11"/>
      <c r="L120" s="11"/>
    </row>
    <row r="121" spans="1:14" x14ac:dyDescent="0.3">
      <c r="A121" t="s">
        <v>163</v>
      </c>
      <c r="B121" t="s">
        <v>94</v>
      </c>
      <c r="C121" t="s">
        <v>87</v>
      </c>
      <c r="D121" t="s">
        <v>149</v>
      </c>
      <c r="E121" s="138">
        <v>15</v>
      </c>
      <c r="F121" s="29">
        <v>4.4999999999999998E-2</v>
      </c>
      <c r="G121" s="3">
        <v>2</v>
      </c>
      <c r="H121" s="31" t="s">
        <v>101</v>
      </c>
      <c r="I121" s="31" t="s">
        <v>101</v>
      </c>
      <c r="K121" s="11">
        <v>0.5</v>
      </c>
      <c r="L121" s="11">
        <v>2</v>
      </c>
      <c r="M121" s="1">
        <v>0</v>
      </c>
      <c r="N121" s="1">
        <v>0</v>
      </c>
    </row>
    <row r="122" spans="1:14" x14ac:dyDescent="0.3">
      <c r="D122" t="s">
        <v>118</v>
      </c>
      <c r="E122" s="138"/>
      <c r="F122" s="29">
        <v>1.0999999999999999E-2</v>
      </c>
      <c r="J122" s="1" t="s">
        <v>468</v>
      </c>
      <c r="K122" s="11"/>
      <c r="L122" s="11"/>
    </row>
    <row r="123" spans="1:14" x14ac:dyDescent="0.3">
      <c r="D123" t="s">
        <v>149</v>
      </c>
      <c r="E123" s="138"/>
      <c r="F123" s="29">
        <v>3.4000000000000002E-2</v>
      </c>
      <c r="K123" s="11"/>
      <c r="L123" s="11"/>
    </row>
    <row r="124" spans="1:14" x14ac:dyDescent="0.3">
      <c r="A124" t="s">
        <v>164</v>
      </c>
      <c r="B124" t="s">
        <v>97</v>
      </c>
      <c r="C124" t="s">
        <v>98</v>
      </c>
      <c r="D124" t="s">
        <v>133</v>
      </c>
      <c r="E124" s="138">
        <v>15</v>
      </c>
      <c r="F124" s="29">
        <v>0.54</v>
      </c>
      <c r="G124" s="3">
        <v>2</v>
      </c>
      <c r="H124" s="31" t="s">
        <v>101</v>
      </c>
      <c r="I124" s="31" t="s">
        <v>101</v>
      </c>
      <c r="K124" s="11">
        <v>0.5</v>
      </c>
      <c r="L124" s="11">
        <v>2</v>
      </c>
      <c r="M124" s="1">
        <v>0</v>
      </c>
      <c r="N124" s="1">
        <v>0</v>
      </c>
    </row>
    <row r="125" spans="1:14" x14ac:dyDescent="0.3">
      <c r="D125" t="s">
        <v>116</v>
      </c>
      <c r="E125" s="138"/>
      <c r="F125" s="29">
        <v>0.08</v>
      </c>
      <c r="J125" s="1" t="s">
        <v>468</v>
      </c>
      <c r="K125" s="11"/>
      <c r="L125" s="11"/>
    </row>
    <row r="126" spans="1:14" x14ac:dyDescent="0.3">
      <c r="D126" t="s">
        <v>133</v>
      </c>
      <c r="E126" s="138"/>
      <c r="F126" s="29">
        <v>0.46</v>
      </c>
      <c r="K126" s="11"/>
      <c r="L126" s="11"/>
    </row>
    <row r="127" spans="1:14" x14ac:dyDescent="0.3">
      <c r="A127" t="s">
        <v>165</v>
      </c>
      <c r="B127" t="s">
        <v>98</v>
      </c>
      <c r="C127" t="s">
        <v>93</v>
      </c>
      <c r="D127" t="s">
        <v>149</v>
      </c>
      <c r="E127" s="138">
        <v>15</v>
      </c>
      <c r="F127" s="29">
        <v>0.45900000000000002</v>
      </c>
      <c r="G127" s="3">
        <v>1</v>
      </c>
      <c r="H127" s="31" t="s">
        <v>101</v>
      </c>
      <c r="I127" s="31" t="s">
        <v>101</v>
      </c>
      <c r="K127" s="11">
        <v>0.5</v>
      </c>
      <c r="L127" s="11">
        <v>2</v>
      </c>
      <c r="M127" s="1">
        <v>0</v>
      </c>
      <c r="N127" s="1">
        <v>0</v>
      </c>
    </row>
    <row r="128" spans="1:14" x14ac:dyDescent="0.3">
      <c r="A128" t="s">
        <v>166</v>
      </c>
      <c r="B128" t="s">
        <v>93</v>
      </c>
      <c r="C128" t="s">
        <v>92</v>
      </c>
      <c r="D128" t="s">
        <v>149</v>
      </c>
      <c r="E128" s="138">
        <v>15</v>
      </c>
      <c r="F128" s="29">
        <v>0.245</v>
      </c>
      <c r="G128" s="3">
        <v>2</v>
      </c>
      <c r="H128" s="31" t="s">
        <v>101</v>
      </c>
      <c r="I128" s="31" t="s">
        <v>101</v>
      </c>
      <c r="K128" s="11">
        <v>0.5</v>
      </c>
      <c r="L128" s="11">
        <v>2</v>
      </c>
      <c r="M128" s="1">
        <v>0</v>
      </c>
      <c r="N128" s="1">
        <v>0</v>
      </c>
    </row>
    <row r="129" spans="1:14" x14ac:dyDescent="0.3">
      <c r="D129" t="s">
        <v>149</v>
      </c>
      <c r="E129" s="138"/>
      <c r="F129" s="29">
        <v>0.17499999999999999</v>
      </c>
      <c r="J129" s="1" t="s">
        <v>468</v>
      </c>
      <c r="K129" s="11"/>
      <c r="L129" s="11"/>
    </row>
    <row r="130" spans="1:14" x14ac:dyDescent="0.3">
      <c r="D130" t="s">
        <v>133</v>
      </c>
      <c r="E130" s="138"/>
      <c r="F130" s="29">
        <v>7.0000000000000007E-2</v>
      </c>
      <c r="K130" s="11"/>
      <c r="L130" s="11"/>
    </row>
    <row r="131" spans="1:14" x14ac:dyDescent="0.3">
      <c r="A131" t="s">
        <v>167</v>
      </c>
      <c r="B131" t="s">
        <v>92</v>
      </c>
      <c r="C131" t="s">
        <v>95</v>
      </c>
      <c r="D131" t="s">
        <v>116</v>
      </c>
      <c r="E131" s="138">
        <v>15</v>
      </c>
      <c r="F131" s="29">
        <v>0.25</v>
      </c>
      <c r="G131" s="3">
        <v>3</v>
      </c>
      <c r="H131" s="31" t="s">
        <v>101</v>
      </c>
      <c r="I131" s="31" t="s">
        <v>101</v>
      </c>
      <c r="K131" s="11">
        <v>0.5</v>
      </c>
      <c r="L131" s="11">
        <v>2</v>
      </c>
      <c r="M131" s="1">
        <v>0</v>
      </c>
      <c r="N131" s="1">
        <v>0</v>
      </c>
    </row>
    <row r="132" spans="1:14" x14ac:dyDescent="0.3">
      <c r="D132" t="s">
        <v>116</v>
      </c>
      <c r="E132" s="138"/>
      <c r="F132" s="29">
        <v>0.13</v>
      </c>
      <c r="J132" s="1" t="s">
        <v>468</v>
      </c>
      <c r="K132" s="11"/>
      <c r="L132" s="11"/>
    </row>
    <row r="133" spans="1:14" x14ac:dyDescent="0.3">
      <c r="D133" t="s">
        <v>149</v>
      </c>
      <c r="E133" s="138"/>
      <c r="F133" s="29">
        <v>0.05</v>
      </c>
      <c r="J133" s="1" t="s">
        <v>468</v>
      </c>
      <c r="K133" s="11"/>
      <c r="L133" s="11"/>
    </row>
    <row r="134" spans="1:14" x14ac:dyDescent="0.3">
      <c r="D134" t="s">
        <v>133</v>
      </c>
      <c r="E134" s="138"/>
      <c r="F134" s="29">
        <v>7.0000000000000007E-2</v>
      </c>
      <c r="K134" s="11"/>
      <c r="L134" s="11"/>
    </row>
    <row r="135" spans="1:14" x14ac:dyDescent="0.3">
      <c r="A135" t="s">
        <v>168</v>
      </c>
      <c r="B135" t="s">
        <v>2</v>
      </c>
      <c r="C135" t="s">
        <v>39</v>
      </c>
      <c r="D135" t="s">
        <v>103</v>
      </c>
      <c r="E135" s="138">
        <v>15</v>
      </c>
      <c r="F135" s="29">
        <v>1.365</v>
      </c>
      <c r="G135" s="3">
        <v>3</v>
      </c>
      <c r="H135" s="31" t="s">
        <v>101</v>
      </c>
      <c r="I135" s="31" t="s">
        <v>101</v>
      </c>
      <c r="K135" s="11">
        <v>0.5</v>
      </c>
      <c r="L135" s="11">
        <v>2</v>
      </c>
      <c r="M135" s="1">
        <v>1</v>
      </c>
      <c r="N135" s="1">
        <v>0</v>
      </c>
    </row>
    <row r="136" spans="1:14" x14ac:dyDescent="0.3">
      <c r="D136" t="s">
        <v>118</v>
      </c>
      <c r="E136" s="138"/>
      <c r="F136" s="29">
        <v>0.15</v>
      </c>
      <c r="J136" s="1" t="s">
        <v>468</v>
      </c>
      <c r="K136" s="11"/>
      <c r="L136" s="11"/>
    </row>
    <row r="137" spans="1:14" x14ac:dyDescent="0.3">
      <c r="D137" t="s">
        <v>102</v>
      </c>
      <c r="E137" s="138"/>
      <c r="F137" s="29">
        <v>0.28999999999999998</v>
      </c>
      <c r="J137" s="1" t="s">
        <v>468</v>
      </c>
      <c r="K137" s="11"/>
      <c r="L137" s="11"/>
    </row>
    <row r="138" spans="1:14" x14ac:dyDescent="0.3">
      <c r="D138" t="s">
        <v>103</v>
      </c>
      <c r="E138" s="138"/>
      <c r="F138" s="29">
        <v>0.92500000000000004</v>
      </c>
      <c r="K138" s="11"/>
      <c r="L138" s="11"/>
    </row>
    <row r="139" spans="1:14" x14ac:dyDescent="0.3">
      <c r="A139" t="s">
        <v>169</v>
      </c>
      <c r="B139" t="s">
        <v>39</v>
      </c>
      <c r="C139" t="s">
        <v>40</v>
      </c>
      <c r="D139" t="s">
        <v>118</v>
      </c>
      <c r="E139" s="138">
        <v>15</v>
      </c>
      <c r="F139" s="29">
        <v>0.105</v>
      </c>
      <c r="G139" s="3">
        <v>1</v>
      </c>
      <c r="H139" s="31" t="s">
        <v>101</v>
      </c>
      <c r="I139" s="31" t="s">
        <v>101</v>
      </c>
      <c r="K139" s="11">
        <v>0.5</v>
      </c>
      <c r="L139" s="11">
        <v>2</v>
      </c>
      <c r="M139" s="1">
        <v>0</v>
      </c>
      <c r="N139" s="1">
        <v>0</v>
      </c>
    </row>
    <row r="140" spans="1:14" x14ac:dyDescent="0.3">
      <c r="A140" t="s">
        <v>170</v>
      </c>
      <c r="B140" t="s">
        <v>40</v>
      </c>
      <c r="C140" t="s">
        <v>35</v>
      </c>
      <c r="D140" t="s">
        <v>102</v>
      </c>
      <c r="E140" s="138">
        <v>15</v>
      </c>
      <c r="F140" s="29">
        <v>0.23899999999999999</v>
      </c>
      <c r="G140" s="3">
        <v>2</v>
      </c>
      <c r="H140" s="31" t="s">
        <v>101</v>
      </c>
      <c r="I140" s="31" t="s">
        <v>101</v>
      </c>
      <c r="K140" s="11">
        <v>0.5</v>
      </c>
      <c r="L140" s="11">
        <v>2</v>
      </c>
      <c r="M140" s="1">
        <v>0</v>
      </c>
      <c r="N140" s="1">
        <v>0</v>
      </c>
    </row>
    <row r="141" spans="1:14" x14ac:dyDescent="0.3">
      <c r="D141" t="s">
        <v>118</v>
      </c>
      <c r="E141" s="138"/>
      <c r="F141" s="29">
        <v>5.5E-2</v>
      </c>
      <c r="J141" s="1" t="s">
        <v>468</v>
      </c>
      <c r="K141" s="11"/>
      <c r="L141" s="11"/>
    </row>
    <row r="142" spans="1:14" x14ac:dyDescent="0.3">
      <c r="D142" t="s">
        <v>102</v>
      </c>
      <c r="E142" s="138"/>
      <c r="F142" s="29">
        <v>0.184</v>
      </c>
      <c r="K142" s="11"/>
      <c r="L142" s="11"/>
    </row>
    <row r="143" spans="1:14" x14ac:dyDescent="0.3">
      <c r="A143" t="s">
        <v>171</v>
      </c>
      <c r="B143" t="s">
        <v>35</v>
      </c>
      <c r="C143" t="s">
        <v>36</v>
      </c>
      <c r="D143" t="s">
        <v>102</v>
      </c>
      <c r="E143" s="138">
        <v>15</v>
      </c>
      <c r="F143" s="29">
        <v>0.23899999999999999</v>
      </c>
      <c r="G143" s="3">
        <v>2</v>
      </c>
      <c r="H143" s="31" t="s">
        <v>101</v>
      </c>
      <c r="I143" s="31" t="s">
        <v>101</v>
      </c>
      <c r="K143" s="11">
        <v>0.5</v>
      </c>
      <c r="L143" s="11">
        <v>2</v>
      </c>
      <c r="M143" s="1">
        <v>0</v>
      </c>
      <c r="N143" s="1">
        <v>0</v>
      </c>
    </row>
    <row r="144" spans="1:14" x14ac:dyDescent="0.3">
      <c r="D144" t="s">
        <v>102</v>
      </c>
      <c r="E144" s="138"/>
      <c r="F144" s="29">
        <v>0.184</v>
      </c>
      <c r="J144" s="1" t="s">
        <v>468</v>
      </c>
      <c r="K144" s="11"/>
      <c r="L144" s="11"/>
    </row>
    <row r="145" spans="1:14" x14ac:dyDescent="0.3">
      <c r="D145" t="s">
        <v>118</v>
      </c>
      <c r="E145" s="138"/>
      <c r="F145" s="29">
        <v>5.5E-2</v>
      </c>
      <c r="K145" s="11"/>
      <c r="L145" s="11"/>
    </row>
    <row r="146" spans="1:14" x14ac:dyDescent="0.3">
      <c r="A146" t="s">
        <v>172</v>
      </c>
      <c r="B146" t="s">
        <v>36</v>
      </c>
      <c r="C146" t="s">
        <v>38</v>
      </c>
      <c r="D146" t="s">
        <v>102</v>
      </c>
      <c r="E146" s="138">
        <v>15</v>
      </c>
      <c r="F146" s="29">
        <v>0.16</v>
      </c>
      <c r="G146" s="3">
        <v>1</v>
      </c>
      <c r="H146" s="31" t="s">
        <v>101</v>
      </c>
      <c r="I146" s="31" t="s">
        <v>101</v>
      </c>
      <c r="K146" s="11">
        <v>0.5</v>
      </c>
      <c r="L146" s="11">
        <v>2</v>
      </c>
      <c r="M146" s="1">
        <v>0</v>
      </c>
      <c r="N146" s="1">
        <v>0</v>
      </c>
    </row>
    <row r="147" spans="1:14" x14ac:dyDescent="0.3">
      <c r="A147" t="s">
        <v>173</v>
      </c>
      <c r="B147" t="s">
        <v>38</v>
      </c>
      <c r="C147" t="s">
        <v>37</v>
      </c>
      <c r="D147" t="s">
        <v>102</v>
      </c>
      <c r="E147" s="138">
        <v>15</v>
      </c>
      <c r="F147" s="29">
        <v>0.39300000000000002</v>
      </c>
      <c r="G147" s="3">
        <v>2</v>
      </c>
      <c r="H147" s="31" t="s">
        <v>101</v>
      </c>
      <c r="I147" s="31" t="s">
        <v>101</v>
      </c>
      <c r="K147" s="11">
        <v>0.5</v>
      </c>
      <c r="L147" s="11">
        <v>2</v>
      </c>
      <c r="M147" s="1">
        <v>0</v>
      </c>
      <c r="N147" s="1">
        <v>0</v>
      </c>
    </row>
    <row r="148" spans="1:14" x14ac:dyDescent="0.3">
      <c r="D148" t="s">
        <v>102</v>
      </c>
      <c r="E148" s="138"/>
      <c r="F148" s="29">
        <v>0.20799999999999999</v>
      </c>
      <c r="J148" s="1" t="s">
        <v>468</v>
      </c>
      <c r="K148" s="11"/>
      <c r="L148" s="11"/>
    </row>
    <row r="149" spans="1:14" x14ac:dyDescent="0.3">
      <c r="D149" t="s">
        <v>100</v>
      </c>
      <c r="E149" s="138"/>
      <c r="F149" s="29">
        <v>0.185</v>
      </c>
      <c r="K149" s="11"/>
      <c r="L149" s="11"/>
    </row>
    <row r="150" spans="1:14" x14ac:dyDescent="0.3">
      <c r="A150" t="s">
        <v>174</v>
      </c>
      <c r="B150" t="s">
        <v>37</v>
      </c>
      <c r="C150" t="s">
        <v>34</v>
      </c>
      <c r="D150" t="s">
        <v>102</v>
      </c>
      <c r="E150" s="138">
        <v>15</v>
      </c>
      <c r="F150" s="29">
        <v>0.15</v>
      </c>
      <c r="G150" s="3">
        <v>3</v>
      </c>
      <c r="H150" s="31" t="s">
        <v>101</v>
      </c>
      <c r="I150" s="31" t="s">
        <v>101</v>
      </c>
      <c r="K150" s="11">
        <v>0.5</v>
      </c>
      <c r="L150" s="11">
        <v>2</v>
      </c>
      <c r="M150" s="1">
        <v>0</v>
      </c>
      <c r="N150" s="1">
        <v>0</v>
      </c>
    </row>
    <row r="151" spans="1:14" x14ac:dyDescent="0.3">
      <c r="D151" t="s">
        <v>100</v>
      </c>
      <c r="E151" s="138"/>
      <c r="F151" s="29">
        <v>1.4999999999999999E-2</v>
      </c>
      <c r="J151" s="1" t="s">
        <v>468</v>
      </c>
      <c r="K151" s="11"/>
      <c r="L151" s="11"/>
    </row>
    <row r="152" spans="1:14" x14ac:dyDescent="0.3">
      <c r="D152" t="s">
        <v>102</v>
      </c>
      <c r="E152" s="138"/>
      <c r="F152" s="29">
        <v>7.0000000000000007E-2</v>
      </c>
      <c r="J152" s="1" t="s">
        <v>468</v>
      </c>
      <c r="K152" s="11"/>
      <c r="L152" s="11"/>
    </row>
    <row r="153" spans="1:14" x14ac:dyDescent="0.3">
      <c r="D153" t="s">
        <v>100</v>
      </c>
      <c r="E153" s="138"/>
      <c r="F153" s="29">
        <v>6.5000000000000002E-2</v>
      </c>
      <c r="K153" s="11"/>
      <c r="L153" s="11"/>
    </row>
    <row r="154" spans="1:14" x14ac:dyDescent="0.3">
      <c r="A154" t="s">
        <v>175</v>
      </c>
      <c r="B154" t="s">
        <v>2</v>
      </c>
      <c r="C154" t="s">
        <v>46</v>
      </c>
      <c r="D154" t="s">
        <v>103</v>
      </c>
      <c r="E154" s="138">
        <v>15</v>
      </c>
      <c r="F154" s="29">
        <v>0.5</v>
      </c>
      <c r="G154" s="3">
        <v>4</v>
      </c>
      <c r="H154" s="31" t="s">
        <v>101</v>
      </c>
      <c r="I154" s="31" t="s">
        <v>101</v>
      </c>
      <c r="K154" s="11">
        <v>0.5</v>
      </c>
      <c r="L154" s="11">
        <v>2</v>
      </c>
      <c r="M154" s="1">
        <v>1</v>
      </c>
      <c r="N154" s="1">
        <v>0</v>
      </c>
    </row>
    <row r="155" spans="1:14" x14ac:dyDescent="0.3">
      <c r="D155" t="s">
        <v>102</v>
      </c>
      <c r="E155" s="138"/>
      <c r="F155" s="29">
        <v>0.06</v>
      </c>
      <c r="J155" s="1" t="s">
        <v>468</v>
      </c>
      <c r="K155" s="11"/>
      <c r="L155" s="11"/>
    </row>
    <row r="156" spans="1:14" x14ac:dyDescent="0.3">
      <c r="D156" t="s">
        <v>103</v>
      </c>
      <c r="E156" s="138"/>
      <c r="F156" s="29">
        <v>0.3</v>
      </c>
      <c r="J156" s="1" t="s">
        <v>468</v>
      </c>
      <c r="K156" s="11"/>
      <c r="L156" s="11"/>
    </row>
    <row r="157" spans="1:14" x14ac:dyDescent="0.3">
      <c r="D157" t="s">
        <v>111</v>
      </c>
      <c r="E157" s="138"/>
      <c r="F157" s="29">
        <v>0.13500000000000001</v>
      </c>
      <c r="J157" s="1" t="s">
        <v>468</v>
      </c>
      <c r="K157" s="11"/>
      <c r="L157" s="11"/>
    </row>
    <row r="158" spans="1:14" x14ac:dyDescent="0.3">
      <c r="D158" t="s">
        <v>100</v>
      </c>
      <c r="E158" s="138"/>
      <c r="F158" s="29">
        <v>5.0000000000000001E-3</v>
      </c>
      <c r="K158" s="11"/>
      <c r="L158" s="11"/>
    </row>
    <row r="159" spans="1:14" x14ac:dyDescent="0.3">
      <c r="A159" t="s">
        <v>176</v>
      </c>
      <c r="B159" t="s">
        <v>46</v>
      </c>
      <c r="C159" t="s">
        <v>45</v>
      </c>
      <c r="D159" t="s">
        <v>121</v>
      </c>
      <c r="E159" s="138">
        <v>15</v>
      </c>
      <c r="F159" s="29">
        <v>0.83499999999999996</v>
      </c>
      <c r="G159" s="3">
        <v>5</v>
      </c>
      <c r="H159" s="31" t="s">
        <v>101</v>
      </c>
      <c r="I159" s="31" t="s">
        <v>101</v>
      </c>
      <c r="K159" s="11">
        <v>0.5</v>
      </c>
      <c r="L159" s="11">
        <v>2</v>
      </c>
      <c r="M159" s="1">
        <v>0</v>
      </c>
      <c r="N159" s="1">
        <v>0</v>
      </c>
    </row>
    <row r="160" spans="1:14" x14ac:dyDescent="0.3">
      <c r="D160" t="s">
        <v>102</v>
      </c>
      <c r="E160" s="138"/>
      <c r="F160" s="29">
        <v>0.05</v>
      </c>
      <c r="J160" s="1" t="s">
        <v>468</v>
      </c>
      <c r="K160" s="11"/>
      <c r="L160" s="11"/>
    </row>
    <row r="161" spans="1:14" x14ac:dyDescent="0.3">
      <c r="D161" t="s">
        <v>100</v>
      </c>
      <c r="E161" s="138"/>
      <c r="F161" s="29">
        <v>0.27500000000000002</v>
      </c>
      <c r="J161" s="1" t="s">
        <v>468</v>
      </c>
      <c r="K161" s="11"/>
      <c r="L161" s="11"/>
    </row>
    <row r="162" spans="1:14" x14ac:dyDescent="0.3">
      <c r="D162" t="s">
        <v>121</v>
      </c>
      <c r="E162" s="138"/>
      <c r="F162" s="29">
        <v>0.28999999999999998</v>
      </c>
      <c r="J162" s="1" t="s">
        <v>468</v>
      </c>
      <c r="K162" s="11"/>
      <c r="L162" s="11"/>
    </row>
    <row r="163" spans="1:14" x14ac:dyDescent="0.3">
      <c r="D163" t="s">
        <v>107</v>
      </c>
      <c r="E163" s="138"/>
      <c r="F163" s="29">
        <v>0.14000000000000001</v>
      </c>
      <c r="J163" s="1" t="s">
        <v>468</v>
      </c>
      <c r="K163" s="11"/>
      <c r="L163" s="11"/>
    </row>
    <row r="164" spans="1:14" x14ac:dyDescent="0.3">
      <c r="D164" t="s">
        <v>118</v>
      </c>
      <c r="E164" s="138"/>
      <c r="F164" s="29">
        <v>0.08</v>
      </c>
      <c r="K164" s="11"/>
      <c r="L164" s="11"/>
    </row>
    <row r="165" spans="1:14" x14ac:dyDescent="0.3">
      <c r="A165" t="s">
        <v>177</v>
      </c>
      <c r="B165" t="s">
        <v>45</v>
      </c>
      <c r="C165" t="s">
        <v>48</v>
      </c>
      <c r="D165" t="s">
        <v>118</v>
      </c>
      <c r="E165" s="138">
        <v>15</v>
      </c>
      <c r="F165" s="29">
        <v>0.21</v>
      </c>
      <c r="G165" s="3">
        <v>3</v>
      </c>
      <c r="H165" s="31" t="s">
        <v>101</v>
      </c>
      <c r="I165" s="31" t="s">
        <v>101</v>
      </c>
      <c r="K165" s="11">
        <v>0.5</v>
      </c>
      <c r="L165" s="11">
        <v>2</v>
      </c>
      <c r="M165" s="1">
        <v>0</v>
      </c>
      <c r="N165" s="1">
        <v>0</v>
      </c>
    </row>
    <row r="166" spans="1:14" x14ac:dyDescent="0.3">
      <c r="D166" t="s">
        <v>133</v>
      </c>
      <c r="E166" s="138"/>
      <c r="F166" s="29">
        <v>7.0000000000000007E-2</v>
      </c>
      <c r="J166" s="1" t="s">
        <v>468</v>
      </c>
      <c r="K166" s="11"/>
      <c r="L166" s="11"/>
    </row>
    <row r="167" spans="1:14" x14ac:dyDescent="0.3">
      <c r="D167" t="s">
        <v>107</v>
      </c>
      <c r="E167" s="138"/>
      <c r="F167" s="29">
        <v>0.06</v>
      </c>
      <c r="J167" s="1" t="s">
        <v>468</v>
      </c>
      <c r="K167" s="11"/>
      <c r="L167" s="11"/>
    </row>
    <row r="168" spans="1:14" x14ac:dyDescent="0.3">
      <c r="D168" t="s">
        <v>118</v>
      </c>
      <c r="E168" s="138"/>
      <c r="F168" s="29">
        <v>0.08</v>
      </c>
      <c r="K168" s="11"/>
      <c r="L168" s="11"/>
    </row>
    <row r="169" spans="1:14" x14ac:dyDescent="0.3">
      <c r="A169" t="s">
        <v>178</v>
      </c>
      <c r="B169" t="s">
        <v>48</v>
      </c>
      <c r="C169" t="s">
        <v>44</v>
      </c>
      <c r="D169" t="s">
        <v>118</v>
      </c>
      <c r="E169" s="138">
        <v>15</v>
      </c>
      <c r="F169" s="29">
        <v>0.29499999999999998</v>
      </c>
      <c r="G169" s="3">
        <v>4</v>
      </c>
      <c r="H169" s="31" t="s">
        <v>101</v>
      </c>
      <c r="I169" s="31" t="s">
        <v>101</v>
      </c>
      <c r="K169" s="11">
        <v>0.5</v>
      </c>
      <c r="L169" s="11">
        <v>2</v>
      </c>
      <c r="M169" s="1">
        <v>0</v>
      </c>
      <c r="N169" s="1">
        <v>0</v>
      </c>
    </row>
    <row r="170" spans="1:14" x14ac:dyDescent="0.3">
      <c r="D170" t="s">
        <v>133</v>
      </c>
      <c r="E170" s="138"/>
      <c r="F170" s="29">
        <v>0.08</v>
      </c>
      <c r="J170" s="1" t="s">
        <v>468</v>
      </c>
      <c r="K170" s="11"/>
      <c r="L170" s="11"/>
    </row>
    <row r="171" spans="1:14" x14ac:dyDescent="0.3">
      <c r="D171" t="s">
        <v>107</v>
      </c>
      <c r="E171" s="138"/>
      <c r="F171" s="29">
        <v>0.05</v>
      </c>
      <c r="J171" s="1" t="s">
        <v>468</v>
      </c>
      <c r="K171" s="11"/>
      <c r="L171" s="11"/>
    </row>
    <row r="172" spans="1:14" x14ac:dyDescent="0.3">
      <c r="D172" t="s">
        <v>133</v>
      </c>
      <c r="E172" s="138"/>
      <c r="F172" s="29">
        <v>0.08</v>
      </c>
      <c r="J172" s="1" t="s">
        <v>468</v>
      </c>
      <c r="K172" s="11"/>
      <c r="L172" s="11"/>
    </row>
    <row r="173" spans="1:14" x14ac:dyDescent="0.3">
      <c r="D173" t="s">
        <v>118</v>
      </c>
      <c r="E173" s="138"/>
      <c r="F173" s="29">
        <v>8.5000000000000006E-2</v>
      </c>
      <c r="K173" s="11"/>
      <c r="L173" s="11"/>
    </row>
    <row r="174" spans="1:14" x14ac:dyDescent="0.3">
      <c r="A174" t="s">
        <v>179</v>
      </c>
      <c r="B174" t="s">
        <v>44</v>
      </c>
      <c r="C174" t="s">
        <v>47</v>
      </c>
      <c r="D174" t="s">
        <v>118</v>
      </c>
      <c r="E174" s="138">
        <v>15</v>
      </c>
      <c r="F174" s="29">
        <v>0.125</v>
      </c>
      <c r="G174" s="3">
        <v>2</v>
      </c>
      <c r="H174" s="31" t="s">
        <v>101</v>
      </c>
      <c r="I174" s="31" t="s">
        <v>101</v>
      </c>
      <c r="K174" s="11">
        <v>0.5</v>
      </c>
      <c r="L174" s="11">
        <v>2</v>
      </c>
      <c r="M174" s="1">
        <v>0</v>
      </c>
      <c r="N174" s="1">
        <v>0</v>
      </c>
    </row>
    <row r="175" spans="1:14" x14ac:dyDescent="0.3">
      <c r="D175" t="s">
        <v>133</v>
      </c>
      <c r="E175" s="138"/>
      <c r="F175" s="29">
        <v>0.04</v>
      </c>
      <c r="J175" s="1" t="s">
        <v>468</v>
      </c>
      <c r="K175" s="11"/>
      <c r="L175" s="11"/>
    </row>
    <row r="176" spans="1:14" x14ac:dyDescent="0.3">
      <c r="D176" t="s">
        <v>118</v>
      </c>
      <c r="E176" s="138"/>
      <c r="F176" s="29">
        <v>8.5000000000000006E-2</v>
      </c>
      <c r="K176" s="11"/>
      <c r="L176" s="11"/>
    </row>
    <row r="177" spans="1:14" x14ac:dyDescent="0.3">
      <c r="A177" t="s">
        <v>180</v>
      </c>
      <c r="B177" t="s">
        <v>47</v>
      </c>
      <c r="C177" t="s">
        <v>49</v>
      </c>
      <c r="D177" t="s">
        <v>133</v>
      </c>
      <c r="E177" s="138">
        <v>15</v>
      </c>
      <c r="F177" s="29">
        <v>0.2</v>
      </c>
      <c r="G177" s="3">
        <v>2</v>
      </c>
      <c r="H177" s="31" t="s">
        <v>101</v>
      </c>
      <c r="I177" s="31" t="s">
        <v>101</v>
      </c>
      <c r="K177" s="11">
        <v>0.5</v>
      </c>
      <c r="L177" s="11">
        <v>2</v>
      </c>
      <c r="M177" s="1">
        <v>0</v>
      </c>
      <c r="N177" s="1">
        <v>0</v>
      </c>
    </row>
    <row r="178" spans="1:14" x14ac:dyDescent="0.3">
      <c r="D178" t="s">
        <v>107</v>
      </c>
      <c r="E178" s="138"/>
      <c r="F178" s="29">
        <v>0.08</v>
      </c>
      <c r="J178" s="1" t="s">
        <v>468</v>
      </c>
      <c r="K178" s="11"/>
      <c r="L178" s="11"/>
    </row>
    <row r="179" spans="1:14" x14ac:dyDescent="0.3">
      <c r="D179" t="s">
        <v>133</v>
      </c>
      <c r="E179" s="138"/>
      <c r="F179" s="29">
        <v>0.12</v>
      </c>
      <c r="K179" s="11"/>
      <c r="L179" s="11"/>
    </row>
    <row r="180" spans="1:14" x14ac:dyDescent="0.3">
      <c r="A180" t="s">
        <v>181</v>
      </c>
      <c r="B180" t="s">
        <v>49</v>
      </c>
      <c r="C180" t="s">
        <v>43</v>
      </c>
      <c r="D180" t="s">
        <v>118</v>
      </c>
      <c r="E180" s="138">
        <v>15</v>
      </c>
      <c r="F180" s="29">
        <v>0.15</v>
      </c>
      <c r="G180" s="3">
        <v>1</v>
      </c>
      <c r="H180" s="31" t="s">
        <v>101</v>
      </c>
      <c r="I180" s="31" t="s">
        <v>101</v>
      </c>
      <c r="K180" s="11">
        <v>0.5</v>
      </c>
      <c r="L180" s="11">
        <v>2</v>
      </c>
      <c r="M180" s="1">
        <v>0</v>
      </c>
      <c r="N180" s="1">
        <v>0</v>
      </c>
    </row>
    <row r="181" spans="1:14" x14ac:dyDescent="0.3">
      <c r="A181" t="s">
        <v>182</v>
      </c>
      <c r="B181" t="s">
        <v>43</v>
      </c>
      <c r="C181" t="s">
        <v>42</v>
      </c>
      <c r="D181" t="s">
        <v>118</v>
      </c>
      <c r="E181" s="138">
        <v>15</v>
      </c>
      <c r="F181" s="29">
        <v>0.17</v>
      </c>
      <c r="G181" s="3">
        <v>1</v>
      </c>
      <c r="H181" s="31" t="s">
        <v>101</v>
      </c>
      <c r="I181" s="31" t="s">
        <v>101</v>
      </c>
      <c r="K181" s="11">
        <v>0.5</v>
      </c>
      <c r="L181" s="11">
        <v>2</v>
      </c>
      <c r="M181" s="1">
        <v>0</v>
      </c>
      <c r="N181" s="1">
        <v>0</v>
      </c>
    </row>
    <row r="182" spans="1:14" x14ac:dyDescent="0.3">
      <c r="A182" t="s">
        <v>183</v>
      </c>
      <c r="B182" t="s">
        <v>42</v>
      </c>
      <c r="C182" t="s">
        <v>41</v>
      </c>
      <c r="D182" t="s">
        <v>118</v>
      </c>
      <c r="E182" s="138">
        <v>15</v>
      </c>
      <c r="F182" s="29">
        <v>0.2</v>
      </c>
      <c r="G182" s="3">
        <v>1</v>
      </c>
      <c r="H182" s="31" t="s">
        <v>101</v>
      </c>
      <c r="I182" s="31" t="s">
        <v>101</v>
      </c>
      <c r="K182" s="11">
        <v>0.5</v>
      </c>
      <c r="L182" s="11">
        <v>2</v>
      </c>
      <c r="M182" s="1">
        <v>0</v>
      </c>
      <c r="N182" s="1">
        <v>0</v>
      </c>
    </row>
    <row r="183" spans="1:14" x14ac:dyDescent="0.3">
      <c r="A183" t="s">
        <v>184</v>
      </c>
      <c r="B183" t="s">
        <v>8</v>
      </c>
      <c r="C183" t="s">
        <v>13</v>
      </c>
      <c r="D183" t="s">
        <v>111</v>
      </c>
      <c r="E183" s="138">
        <v>15</v>
      </c>
      <c r="F183" s="29">
        <v>0.2</v>
      </c>
      <c r="G183" s="3">
        <v>1</v>
      </c>
      <c r="H183" s="31" t="s">
        <v>101</v>
      </c>
      <c r="I183" s="31" t="s">
        <v>101</v>
      </c>
      <c r="K183" s="11">
        <v>0.5</v>
      </c>
      <c r="L183" s="11">
        <v>2</v>
      </c>
      <c r="M183" s="1">
        <v>0</v>
      </c>
      <c r="N183" s="1">
        <v>0</v>
      </c>
    </row>
    <row r="184" spans="1:14" x14ac:dyDescent="0.3">
      <c r="A184" t="s">
        <v>185</v>
      </c>
      <c r="B184" t="s">
        <v>13</v>
      </c>
      <c r="C184" t="s">
        <v>7</v>
      </c>
      <c r="D184" t="s">
        <v>133</v>
      </c>
      <c r="E184" s="138">
        <v>15</v>
      </c>
      <c r="F184" s="29">
        <v>0.16</v>
      </c>
      <c r="G184" s="3">
        <v>3</v>
      </c>
      <c r="H184" s="31" t="s">
        <v>101</v>
      </c>
      <c r="I184" s="31" t="s">
        <v>101</v>
      </c>
      <c r="K184" s="11">
        <v>0.5</v>
      </c>
      <c r="L184" s="11">
        <v>2</v>
      </c>
      <c r="M184" s="1">
        <v>0</v>
      </c>
      <c r="N184" s="1">
        <v>0</v>
      </c>
    </row>
    <row r="185" spans="1:14" x14ac:dyDescent="0.3">
      <c r="D185" t="s">
        <v>133</v>
      </c>
      <c r="E185" s="138"/>
      <c r="F185" s="29">
        <v>0.09</v>
      </c>
      <c r="J185" s="1" t="s">
        <v>468</v>
      </c>
      <c r="K185" s="11"/>
      <c r="L185" s="11"/>
    </row>
    <row r="186" spans="1:14" x14ac:dyDescent="0.3">
      <c r="D186" t="s">
        <v>116</v>
      </c>
      <c r="E186" s="138"/>
      <c r="F186" s="29">
        <v>0.02</v>
      </c>
      <c r="J186" s="1" t="s">
        <v>468</v>
      </c>
      <c r="K186" s="11"/>
      <c r="L186" s="11"/>
    </row>
    <row r="187" spans="1:14" x14ac:dyDescent="0.3">
      <c r="D187" t="s">
        <v>133</v>
      </c>
      <c r="E187" s="138"/>
      <c r="F187" s="29">
        <v>0.05</v>
      </c>
      <c r="K187" s="11"/>
      <c r="L187" s="11"/>
    </row>
    <row r="188" spans="1:14" x14ac:dyDescent="0.3">
      <c r="A188" t="s">
        <v>186</v>
      </c>
      <c r="B188" t="s">
        <v>7</v>
      </c>
      <c r="C188" t="s">
        <v>16</v>
      </c>
      <c r="D188" t="s">
        <v>116</v>
      </c>
      <c r="E188" s="138">
        <v>15</v>
      </c>
      <c r="F188" s="29">
        <v>0.25</v>
      </c>
      <c r="G188" s="3">
        <v>2</v>
      </c>
      <c r="H188" s="31" t="s">
        <v>101</v>
      </c>
      <c r="I188" s="31" t="s">
        <v>101</v>
      </c>
      <c r="K188" s="11">
        <v>0.5</v>
      </c>
      <c r="L188" s="11">
        <v>2</v>
      </c>
      <c r="M188" s="1">
        <v>0</v>
      </c>
      <c r="N188" s="1">
        <v>0</v>
      </c>
    </row>
    <row r="189" spans="1:14" x14ac:dyDescent="0.3">
      <c r="D189" t="s">
        <v>116</v>
      </c>
      <c r="E189" s="138"/>
      <c r="F189" s="29">
        <v>0.2</v>
      </c>
      <c r="J189" s="1" t="s">
        <v>468</v>
      </c>
      <c r="K189" s="11"/>
      <c r="L189" s="11"/>
    </row>
    <row r="190" spans="1:14" x14ac:dyDescent="0.3">
      <c r="D190" t="s">
        <v>133</v>
      </c>
      <c r="E190" s="138"/>
      <c r="F190" s="29">
        <v>0.05</v>
      </c>
      <c r="K190" s="11"/>
      <c r="L190" s="11"/>
    </row>
    <row r="191" spans="1:14" x14ac:dyDescent="0.3">
      <c r="A191" t="s">
        <v>187</v>
      </c>
      <c r="B191" t="s">
        <v>16</v>
      </c>
      <c r="C191" t="s">
        <v>5</v>
      </c>
      <c r="D191" t="s">
        <v>116</v>
      </c>
      <c r="E191" s="138">
        <v>15</v>
      </c>
      <c r="F191" s="29">
        <v>0.26</v>
      </c>
      <c r="G191" s="3">
        <v>1</v>
      </c>
      <c r="H191" s="31" t="s">
        <v>101</v>
      </c>
      <c r="I191" s="31" t="s">
        <v>101</v>
      </c>
      <c r="K191" s="11">
        <v>0.5</v>
      </c>
      <c r="L191" s="11">
        <v>2</v>
      </c>
      <c r="M191" s="1">
        <v>0</v>
      </c>
      <c r="N191" s="1">
        <v>0</v>
      </c>
    </row>
    <row r="192" spans="1:14" x14ac:dyDescent="0.3">
      <c r="A192" t="s">
        <v>188</v>
      </c>
      <c r="B192" t="s">
        <v>5</v>
      </c>
      <c r="C192" t="s">
        <v>11</v>
      </c>
      <c r="D192" t="s">
        <v>116</v>
      </c>
      <c r="E192" s="138">
        <v>15</v>
      </c>
      <c r="F192" s="29">
        <v>0.04</v>
      </c>
      <c r="G192" s="3">
        <v>1</v>
      </c>
      <c r="H192" s="31" t="s">
        <v>101</v>
      </c>
      <c r="I192" s="31" t="s">
        <v>101</v>
      </c>
      <c r="K192" s="11">
        <v>0.5</v>
      </c>
      <c r="L192" s="11">
        <v>2</v>
      </c>
      <c r="M192" s="1">
        <v>0</v>
      </c>
      <c r="N192" s="1">
        <v>0</v>
      </c>
    </row>
    <row r="193" spans="1:14" x14ac:dyDescent="0.3">
      <c r="A193" t="s">
        <v>189</v>
      </c>
      <c r="B193" t="s">
        <v>11</v>
      </c>
      <c r="C193" t="s">
        <v>10</v>
      </c>
      <c r="D193" t="s">
        <v>149</v>
      </c>
      <c r="E193" s="138">
        <v>15</v>
      </c>
      <c r="F193" s="29">
        <v>0.46</v>
      </c>
      <c r="G193" s="3">
        <v>1</v>
      </c>
      <c r="H193" s="31" t="s">
        <v>101</v>
      </c>
      <c r="I193" s="31" t="s">
        <v>101</v>
      </c>
      <c r="K193" s="11">
        <v>0.5</v>
      </c>
      <c r="L193" s="11">
        <v>2</v>
      </c>
      <c r="M193" s="1">
        <v>0</v>
      </c>
      <c r="N193" s="1">
        <v>0</v>
      </c>
    </row>
    <row r="194" spans="1:14" x14ac:dyDescent="0.3">
      <c r="A194" t="s">
        <v>190</v>
      </c>
      <c r="B194" t="s">
        <v>10</v>
      </c>
      <c r="C194" t="s">
        <v>14</v>
      </c>
      <c r="D194" t="s">
        <v>149</v>
      </c>
      <c r="E194" s="138">
        <v>15</v>
      </c>
      <c r="F194" s="29">
        <v>0.24199999999999999</v>
      </c>
      <c r="G194" s="3">
        <v>1</v>
      </c>
      <c r="H194" s="31" t="s">
        <v>101</v>
      </c>
      <c r="I194" s="31" t="s">
        <v>101</v>
      </c>
      <c r="K194" s="11">
        <v>0.5</v>
      </c>
      <c r="L194" s="11">
        <v>2</v>
      </c>
      <c r="M194" s="1">
        <v>0</v>
      </c>
      <c r="N194" s="1">
        <v>0</v>
      </c>
    </row>
    <row r="195" spans="1:14" x14ac:dyDescent="0.3">
      <c r="A195" t="s">
        <v>191</v>
      </c>
      <c r="B195" t="s">
        <v>14</v>
      </c>
      <c r="C195" t="s">
        <v>9</v>
      </c>
      <c r="D195" t="s">
        <v>149</v>
      </c>
      <c r="E195" s="138">
        <v>15</v>
      </c>
      <c r="F195" s="29">
        <v>0.45</v>
      </c>
      <c r="G195" s="3">
        <v>2</v>
      </c>
      <c r="H195" s="31" t="s">
        <v>101</v>
      </c>
      <c r="I195" s="31" t="s">
        <v>101</v>
      </c>
      <c r="K195" s="11">
        <v>0.5</v>
      </c>
      <c r="L195" s="11">
        <v>2</v>
      </c>
      <c r="M195" s="1">
        <v>0</v>
      </c>
      <c r="N195" s="1">
        <v>0</v>
      </c>
    </row>
    <row r="196" spans="1:14" x14ac:dyDescent="0.3">
      <c r="D196" t="s">
        <v>149</v>
      </c>
      <c r="E196" s="138"/>
      <c r="F196" s="29">
        <v>0.26</v>
      </c>
      <c r="J196" s="1" t="s">
        <v>468</v>
      </c>
      <c r="K196" s="11"/>
      <c r="L196" s="11"/>
    </row>
    <row r="197" spans="1:14" x14ac:dyDescent="0.3">
      <c r="D197" t="s">
        <v>133</v>
      </c>
      <c r="E197" s="138"/>
      <c r="F197" s="29">
        <v>0.19</v>
      </c>
      <c r="K197" s="11"/>
      <c r="L197" s="11"/>
    </row>
    <row r="198" spans="1:14" x14ac:dyDescent="0.3">
      <c r="A198" t="s">
        <v>192</v>
      </c>
      <c r="B198" t="s">
        <v>9</v>
      </c>
      <c r="C198" t="s">
        <v>15</v>
      </c>
      <c r="D198" t="s">
        <v>133</v>
      </c>
      <c r="E198" s="138">
        <v>15</v>
      </c>
      <c r="F198" s="29">
        <v>0.22</v>
      </c>
      <c r="G198" s="3">
        <v>2</v>
      </c>
      <c r="H198" s="31" t="s">
        <v>101</v>
      </c>
      <c r="I198" s="31" t="s">
        <v>101</v>
      </c>
      <c r="K198" s="11">
        <v>0.5</v>
      </c>
      <c r="L198" s="11">
        <v>2</v>
      </c>
      <c r="M198" s="1">
        <v>0</v>
      </c>
      <c r="N198" s="1">
        <v>0</v>
      </c>
    </row>
    <row r="199" spans="1:14" x14ac:dyDescent="0.3">
      <c r="D199" t="s">
        <v>149</v>
      </c>
      <c r="E199" s="138"/>
      <c r="F199" s="29">
        <v>0.03</v>
      </c>
      <c r="J199" s="1" t="s">
        <v>468</v>
      </c>
      <c r="K199" s="11"/>
      <c r="L199" s="11"/>
    </row>
    <row r="200" spans="1:14" x14ac:dyDescent="0.3">
      <c r="D200" t="s">
        <v>133</v>
      </c>
      <c r="E200" s="138"/>
      <c r="F200" s="29">
        <v>0.19</v>
      </c>
      <c r="K200" s="11"/>
      <c r="L200" s="11"/>
    </row>
    <row r="201" spans="1:14" x14ac:dyDescent="0.3">
      <c r="A201" t="s">
        <v>193</v>
      </c>
      <c r="B201" t="s">
        <v>15</v>
      </c>
      <c r="C201" t="s">
        <v>6</v>
      </c>
      <c r="D201" t="s">
        <v>116</v>
      </c>
      <c r="E201" s="138">
        <v>15</v>
      </c>
      <c r="F201" s="29">
        <v>0.04</v>
      </c>
      <c r="G201" s="3">
        <v>1</v>
      </c>
      <c r="H201" s="31" t="s">
        <v>101</v>
      </c>
      <c r="I201" s="31" t="s">
        <v>101</v>
      </c>
      <c r="K201" s="11">
        <v>0.5</v>
      </c>
      <c r="L201" s="11">
        <v>2</v>
      </c>
      <c r="M201" s="1">
        <v>0</v>
      </c>
      <c r="N201" s="1">
        <v>0</v>
      </c>
    </row>
    <row r="202" spans="1:14" x14ac:dyDescent="0.3">
      <c r="A202" t="s">
        <v>194</v>
      </c>
      <c r="B202" t="s">
        <v>13</v>
      </c>
      <c r="C202" t="s">
        <v>12</v>
      </c>
      <c r="D202" t="s">
        <v>116</v>
      </c>
      <c r="E202" s="138">
        <v>15</v>
      </c>
      <c r="F202" s="29">
        <v>0.22</v>
      </c>
      <c r="G202" s="3">
        <v>1</v>
      </c>
      <c r="H202" s="31" t="s">
        <v>101</v>
      </c>
      <c r="I202" s="31" t="s">
        <v>101</v>
      </c>
      <c r="K202" s="11">
        <v>0.5</v>
      </c>
      <c r="L202" s="11">
        <v>2</v>
      </c>
      <c r="M202" s="1">
        <v>0</v>
      </c>
      <c r="N202" s="1">
        <v>0</v>
      </c>
    </row>
    <row r="203" spans="1:14" x14ac:dyDescent="0.3">
      <c r="A203" t="s">
        <v>195</v>
      </c>
      <c r="B203" t="s">
        <v>2</v>
      </c>
      <c r="C203" t="s">
        <v>31</v>
      </c>
      <c r="D203" t="s">
        <v>109</v>
      </c>
      <c r="E203" s="138">
        <v>15</v>
      </c>
      <c r="F203" s="29">
        <v>0.753</v>
      </c>
      <c r="G203" s="3">
        <v>2</v>
      </c>
      <c r="H203" s="31" t="s">
        <v>101</v>
      </c>
      <c r="I203" s="31" t="s">
        <v>101</v>
      </c>
      <c r="K203" s="11">
        <v>0.5</v>
      </c>
      <c r="L203" s="11">
        <v>2</v>
      </c>
      <c r="M203" s="1">
        <v>1</v>
      </c>
      <c r="N203" s="1">
        <v>0</v>
      </c>
    </row>
    <row r="204" spans="1:14" x14ac:dyDescent="0.3">
      <c r="D204" t="s">
        <v>102</v>
      </c>
      <c r="E204" s="138"/>
      <c r="F204" s="29">
        <v>9.8000000000000004E-2</v>
      </c>
      <c r="J204" s="1" t="s">
        <v>468</v>
      </c>
      <c r="K204" s="11"/>
      <c r="L204" s="11"/>
    </row>
    <row r="205" spans="1:14" x14ac:dyDescent="0.3">
      <c r="D205" t="s">
        <v>109</v>
      </c>
      <c r="E205" s="138"/>
      <c r="F205" s="29">
        <v>0.65500000000000003</v>
      </c>
      <c r="K205" s="11"/>
      <c r="L205" s="11"/>
    </row>
    <row r="206" spans="1:14" x14ac:dyDescent="0.3">
      <c r="A206" t="s">
        <v>196</v>
      </c>
      <c r="B206" t="s">
        <v>31</v>
      </c>
      <c r="C206" t="s">
        <v>32</v>
      </c>
      <c r="D206" t="s">
        <v>118</v>
      </c>
      <c r="E206" s="138">
        <v>15</v>
      </c>
      <c r="F206" s="29">
        <v>0.03</v>
      </c>
      <c r="G206" s="3">
        <v>1</v>
      </c>
      <c r="H206" s="31" t="s">
        <v>101</v>
      </c>
      <c r="I206" s="31" t="s">
        <v>101</v>
      </c>
      <c r="K206" s="11">
        <v>0.5</v>
      </c>
      <c r="L206" s="11">
        <v>2</v>
      </c>
      <c r="M206" s="1">
        <v>0</v>
      </c>
      <c r="N206" s="1">
        <v>0</v>
      </c>
    </row>
    <row r="207" spans="1:14" x14ac:dyDescent="0.3">
      <c r="A207" t="s">
        <v>197</v>
      </c>
      <c r="B207" t="s">
        <v>32</v>
      </c>
      <c r="C207" t="s">
        <v>27</v>
      </c>
      <c r="D207" t="s">
        <v>133</v>
      </c>
      <c r="E207" s="138">
        <v>15</v>
      </c>
      <c r="F207" s="29">
        <v>0.12</v>
      </c>
      <c r="G207" s="3">
        <v>2</v>
      </c>
      <c r="H207" s="31" t="s">
        <v>101</v>
      </c>
      <c r="I207" s="31" t="s">
        <v>101</v>
      </c>
      <c r="K207" s="11">
        <v>0.5</v>
      </c>
      <c r="L207" s="11">
        <v>2</v>
      </c>
      <c r="M207" s="1">
        <v>0</v>
      </c>
      <c r="N207" s="1">
        <v>0</v>
      </c>
    </row>
    <row r="208" spans="1:14" x14ac:dyDescent="0.3">
      <c r="D208" t="s">
        <v>116</v>
      </c>
      <c r="E208" s="138"/>
      <c r="F208" s="29">
        <v>0.05</v>
      </c>
      <c r="J208" s="1" t="s">
        <v>468</v>
      </c>
      <c r="K208" s="11"/>
      <c r="L208" s="11"/>
    </row>
    <row r="209" spans="1:14" x14ac:dyDescent="0.3">
      <c r="D209" t="s">
        <v>133</v>
      </c>
      <c r="E209" s="138"/>
      <c r="F209" s="29">
        <v>7.0000000000000007E-2</v>
      </c>
      <c r="K209" s="11"/>
      <c r="L209" s="11"/>
    </row>
    <row r="210" spans="1:14" x14ac:dyDescent="0.3">
      <c r="A210" t="s">
        <v>198</v>
      </c>
      <c r="B210" t="s">
        <v>27</v>
      </c>
      <c r="C210" t="s">
        <v>26</v>
      </c>
      <c r="D210" t="s">
        <v>133</v>
      </c>
      <c r="E210" s="138">
        <v>15</v>
      </c>
      <c r="F210" s="29">
        <v>0.11</v>
      </c>
      <c r="G210" s="3">
        <v>3</v>
      </c>
      <c r="H210" s="31" t="s">
        <v>101</v>
      </c>
      <c r="I210" s="31" t="s">
        <v>101</v>
      </c>
      <c r="K210" s="11">
        <v>0.5</v>
      </c>
      <c r="L210" s="11">
        <v>2</v>
      </c>
      <c r="M210" s="1">
        <v>0</v>
      </c>
      <c r="N210" s="1">
        <v>0</v>
      </c>
    </row>
    <row r="211" spans="1:14" x14ac:dyDescent="0.3">
      <c r="D211" t="s">
        <v>133</v>
      </c>
      <c r="E211" s="138"/>
      <c r="F211" s="29">
        <v>7.0000000000000007E-2</v>
      </c>
      <c r="J211" s="1" t="s">
        <v>468</v>
      </c>
      <c r="K211" s="11"/>
      <c r="L211" s="11"/>
    </row>
    <row r="212" spans="1:14" x14ac:dyDescent="0.3">
      <c r="D212" t="s">
        <v>116</v>
      </c>
      <c r="E212" s="138"/>
      <c r="F212" s="29">
        <v>2.5000000000000001E-2</v>
      </c>
      <c r="J212" s="1" t="s">
        <v>468</v>
      </c>
      <c r="K212" s="11"/>
      <c r="L212" s="11"/>
    </row>
    <row r="213" spans="1:14" x14ac:dyDescent="0.3">
      <c r="D213" t="s">
        <v>133</v>
      </c>
      <c r="E213" s="138"/>
      <c r="F213" s="29">
        <v>1.4999999999999999E-2</v>
      </c>
      <c r="K213" s="11"/>
      <c r="L213" s="11"/>
    </row>
    <row r="214" spans="1:14" x14ac:dyDescent="0.3">
      <c r="A214" t="s">
        <v>199</v>
      </c>
      <c r="B214" t="s">
        <v>26</v>
      </c>
      <c r="C214" t="s">
        <v>30</v>
      </c>
      <c r="D214" t="s">
        <v>133</v>
      </c>
      <c r="E214" s="138">
        <v>15</v>
      </c>
      <c r="F214" s="29">
        <v>0.08</v>
      </c>
      <c r="G214" s="3">
        <v>1</v>
      </c>
      <c r="H214" s="31" t="s">
        <v>101</v>
      </c>
      <c r="I214" s="31" t="s">
        <v>101</v>
      </c>
      <c r="K214" s="11">
        <v>0.5</v>
      </c>
      <c r="L214" s="11">
        <v>2</v>
      </c>
      <c r="M214" s="1">
        <v>0</v>
      </c>
      <c r="N214" s="1">
        <v>0</v>
      </c>
    </row>
    <row r="215" spans="1:14" x14ac:dyDescent="0.3">
      <c r="A215" t="s">
        <v>200</v>
      </c>
      <c r="B215" t="s">
        <v>30</v>
      </c>
      <c r="C215" t="s">
        <v>33</v>
      </c>
      <c r="D215" t="s">
        <v>103</v>
      </c>
      <c r="E215" s="138">
        <v>15</v>
      </c>
      <c r="F215" s="29">
        <v>0.86499999999999999</v>
      </c>
      <c r="G215" s="3">
        <v>2</v>
      </c>
      <c r="H215" s="31" t="s">
        <v>101</v>
      </c>
      <c r="I215" s="31" t="s">
        <v>101</v>
      </c>
      <c r="K215" s="11">
        <v>0.5</v>
      </c>
      <c r="L215" s="11">
        <v>2</v>
      </c>
      <c r="M215" s="1">
        <v>0</v>
      </c>
      <c r="N215" s="1">
        <v>0</v>
      </c>
    </row>
    <row r="216" spans="1:14" x14ac:dyDescent="0.3">
      <c r="D216" t="s">
        <v>118</v>
      </c>
      <c r="E216" s="138"/>
      <c r="F216" s="29">
        <v>5.5E-2</v>
      </c>
      <c r="J216" s="1" t="s">
        <v>468</v>
      </c>
      <c r="K216" s="11"/>
      <c r="L216" s="11"/>
    </row>
    <row r="217" spans="1:14" x14ac:dyDescent="0.3">
      <c r="D217" t="s">
        <v>103</v>
      </c>
      <c r="E217" s="138"/>
      <c r="F217" s="29">
        <v>0.81</v>
      </c>
      <c r="K217" s="11"/>
      <c r="L217" s="11"/>
    </row>
    <row r="218" spans="1:14" x14ac:dyDescent="0.3">
      <c r="A218" t="s">
        <v>201</v>
      </c>
      <c r="B218" t="s">
        <v>33</v>
      </c>
      <c r="C218" t="s">
        <v>28</v>
      </c>
      <c r="D218" t="s">
        <v>111</v>
      </c>
      <c r="E218" s="138">
        <v>15</v>
      </c>
      <c r="F218" s="29">
        <v>0.11799999999999999</v>
      </c>
      <c r="G218" s="3">
        <v>2</v>
      </c>
      <c r="H218" s="31" t="s">
        <v>101</v>
      </c>
      <c r="I218" s="31" t="s">
        <v>101</v>
      </c>
      <c r="K218" s="11">
        <v>0.5</v>
      </c>
      <c r="L218" s="11">
        <v>2</v>
      </c>
      <c r="M218" s="1">
        <v>0</v>
      </c>
      <c r="N218" s="1">
        <v>0</v>
      </c>
    </row>
    <row r="219" spans="1:14" x14ac:dyDescent="0.3">
      <c r="D219" t="s">
        <v>111</v>
      </c>
      <c r="E219" s="138"/>
      <c r="F219" s="29">
        <v>8.5000000000000006E-2</v>
      </c>
      <c r="J219" s="1" t="s">
        <v>468</v>
      </c>
      <c r="K219" s="11"/>
      <c r="L219" s="11"/>
    </row>
    <row r="220" spans="1:14" x14ac:dyDescent="0.3">
      <c r="D220" t="s">
        <v>102</v>
      </c>
      <c r="E220" s="138"/>
      <c r="F220" s="29">
        <v>3.3000000000000002E-2</v>
      </c>
      <c r="K220" s="11"/>
      <c r="L220" s="11"/>
    </row>
    <row r="221" spans="1:14" x14ac:dyDescent="0.3">
      <c r="A221" t="s">
        <v>202</v>
      </c>
      <c r="B221" t="s">
        <v>28</v>
      </c>
      <c r="C221" t="s">
        <v>29</v>
      </c>
      <c r="D221" t="s">
        <v>102</v>
      </c>
      <c r="E221" s="138">
        <v>15</v>
      </c>
      <c r="F221" s="29">
        <v>0.10199999999999999</v>
      </c>
      <c r="G221" s="3">
        <v>3</v>
      </c>
      <c r="H221" s="31" t="s">
        <v>101</v>
      </c>
      <c r="I221" s="31" t="s">
        <v>101</v>
      </c>
      <c r="K221" s="11">
        <v>0.5</v>
      </c>
      <c r="L221" s="11">
        <v>2</v>
      </c>
      <c r="M221" s="1">
        <v>0</v>
      </c>
      <c r="N221" s="1">
        <v>0</v>
      </c>
    </row>
    <row r="222" spans="1:14" x14ac:dyDescent="0.3">
      <c r="D222" t="s">
        <v>102</v>
      </c>
      <c r="E222" s="138"/>
      <c r="F222" s="29">
        <v>0.03</v>
      </c>
      <c r="J222" s="1" t="s">
        <v>468</v>
      </c>
      <c r="K222" s="11"/>
      <c r="L222" s="11"/>
    </row>
    <row r="223" spans="1:14" x14ac:dyDescent="0.3">
      <c r="D223" t="s">
        <v>111</v>
      </c>
      <c r="E223" s="138"/>
      <c r="F223" s="29">
        <v>3.4000000000000002E-2</v>
      </c>
      <c r="J223" s="1" t="s">
        <v>468</v>
      </c>
      <c r="K223" s="11"/>
      <c r="L223" s="11"/>
    </row>
    <row r="224" spans="1:14" x14ac:dyDescent="0.3">
      <c r="D224" t="s">
        <v>102</v>
      </c>
      <c r="E224" s="138"/>
      <c r="F224" s="29">
        <v>3.7999999999999999E-2</v>
      </c>
      <c r="K224" s="11"/>
      <c r="L224" s="11"/>
    </row>
    <row r="225" spans="1:14" x14ac:dyDescent="0.3">
      <c r="A225" t="s">
        <v>203</v>
      </c>
      <c r="B225" t="s">
        <v>29</v>
      </c>
      <c r="C225" t="s">
        <v>25</v>
      </c>
      <c r="D225" t="s">
        <v>102</v>
      </c>
      <c r="E225" s="138">
        <v>15</v>
      </c>
      <c r="F225" s="29">
        <v>7.0000000000000007E-2</v>
      </c>
      <c r="G225" s="3">
        <v>3</v>
      </c>
      <c r="H225" s="31" t="s">
        <v>101</v>
      </c>
      <c r="I225" s="31" t="s">
        <v>101</v>
      </c>
      <c r="K225" s="11">
        <v>0.5</v>
      </c>
      <c r="L225" s="11">
        <v>2</v>
      </c>
      <c r="M225" s="1">
        <v>0</v>
      </c>
      <c r="N225" s="1">
        <v>0</v>
      </c>
    </row>
    <row r="226" spans="1:14" x14ac:dyDescent="0.3">
      <c r="D226" t="s">
        <v>102</v>
      </c>
      <c r="E226" s="138"/>
      <c r="F226" s="29">
        <v>0.03</v>
      </c>
      <c r="J226" s="1" t="s">
        <v>468</v>
      </c>
      <c r="K226" s="11"/>
      <c r="L226" s="11"/>
    </row>
    <row r="227" spans="1:14" x14ac:dyDescent="0.3">
      <c r="D227" t="s">
        <v>111</v>
      </c>
      <c r="E227" s="138"/>
      <c r="F227" s="29">
        <v>1.4999999999999999E-2</v>
      </c>
      <c r="J227" s="1" t="s">
        <v>468</v>
      </c>
      <c r="K227" s="11"/>
      <c r="L227" s="11"/>
    </row>
    <row r="228" spans="1:14" x14ac:dyDescent="0.3">
      <c r="D228" t="s">
        <v>100</v>
      </c>
      <c r="E228" s="138"/>
      <c r="F228" s="29">
        <v>2.5000000000000001E-2</v>
      </c>
      <c r="K228" s="11"/>
      <c r="L228" s="11"/>
    </row>
    <row r="229" spans="1:14" x14ac:dyDescent="0.3">
      <c r="A229" t="s">
        <v>460</v>
      </c>
      <c r="B229" t="s">
        <v>14</v>
      </c>
      <c r="C229" t="s">
        <v>4</v>
      </c>
      <c r="D229" t="s">
        <v>100</v>
      </c>
      <c r="E229" s="138">
        <v>15</v>
      </c>
      <c r="F229" s="29">
        <v>1E-3</v>
      </c>
      <c r="G229" s="3">
        <v>1</v>
      </c>
      <c r="H229" s="31" t="s">
        <v>101</v>
      </c>
      <c r="I229" s="31" t="s">
        <v>101</v>
      </c>
      <c r="K229" s="11">
        <v>0.5</v>
      </c>
      <c r="L229" s="11">
        <v>2</v>
      </c>
      <c r="M229" s="1">
        <v>0</v>
      </c>
      <c r="N229" s="1">
        <v>0</v>
      </c>
    </row>
    <row r="230" spans="1:14" x14ac:dyDescent="0.3">
      <c r="A230" t="s">
        <v>461</v>
      </c>
      <c r="B230" t="s">
        <v>33</v>
      </c>
      <c r="C230" t="s">
        <v>24</v>
      </c>
      <c r="D230" t="s">
        <v>100</v>
      </c>
      <c r="E230" s="138">
        <v>15</v>
      </c>
      <c r="F230" s="29">
        <v>1E-3</v>
      </c>
      <c r="G230" s="3">
        <v>1</v>
      </c>
      <c r="H230" s="31" t="s">
        <v>101</v>
      </c>
      <c r="I230" s="31" t="s">
        <v>101</v>
      </c>
      <c r="K230" s="11">
        <v>0.5</v>
      </c>
      <c r="L230" s="11">
        <v>2</v>
      </c>
      <c r="M230" s="1">
        <v>0</v>
      </c>
      <c r="N230" s="1">
        <v>0</v>
      </c>
    </row>
    <row r="231" spans="1:14" x14ac:dyDescent="0.3">
      <c r="A231" t="s">
        <v>462</v>
      </c>
      <c r="B231" t="s">
        <v>57</v>
      </c>
      <c r="C231" t="s">
        <v>50</v>
      </c>
      <c r="D231" t="s">
        <v>100</v>
      </c>
      <c r="E231" s="138">
        <v>15</v>
      </c>
      <c r="F231" s="29">
        <v>1E-3</v>
      </c>
      <c r="G231" s="3">
        <v>1</v>
      </c>
      <c r="H231" s="31" t="s">
        <v>101</v>
      </c>
      <c r="I231" s="31" t="s">
        <v>101</v>
      </c>
      <c r="K231" s="11">
        <v>0.5</v>
      </c>
      <c r="L231" s="11">
        <v>2</v>
      </c>
      <c r="M231" s="1">
        <v>0</v>
      </c>
      <c r="N231" s="1">
        <v>0</v>
      </c>
    </row>
    <row r="232" spans="1:14" x14ac:dyDescent="0.3">
      <c r="E232" s="138"/>
      <c r="K232" s="11"/>
      <c r="L232" s="11"/>
    </row>
    <row r="233" spans="1:14" x14ac:dyDescent="0.3">
      <c r="E233" s="138"/>
      <c r="K233" s="11"/>
      <c r="L233" s="11"/>
    </row>
    <row r="234" spans="1:14" x14ac:dyDescent="0.3">
      <c r="E234" s="138"/>
      <c r="K234" s="11"/>
      <c r="L234" s="11"/>
    </row>
    <row r="235" spans="1:14" x14ac:dyDescent="0.3">
      <c r="E235" s="138"/>
      <c r="K235" s="11"/>
      <c r="L235" s="11"/>
    </row>
    <row r="236" spans="1:14" x14ac:dyDescent="0.3">
      <c r="E236" s="138"/>
      <c r="K236" s="11"/>
      <c r="L236" s="11"/>
    </row>
    <row r="237" spans="1:14" x14ac:dyDescent="0.3">
      <c r="E237" s="138"/>
      <c r="K237" s="11"/>
      <c r="L237" s="11"/>
    </row>
    <row r="238" spans="1:14" x14ac:dyDescent="0.3">
      <c r="E238" s="138"/>
      <c r="K238" s="11"/>
      <c r="L238" s="11"/>
    </row>
    <row r="239" spans="1:14" x14ac:dyDescent="0.3">
      <c r="E239" s="138"/>
      <c r="K239" s="11"/>
      <c r="L239" s="11"/>
    </row>
    <row r="240" spans="1:14" x14ac:dyDescent="0.3">
      <c r="E240" s="138"/>
      <c r="K240" s="11"/>
      <c r="L240" s="11"/>
    </row>
    <row r="241" spans="5:12" x14ac:dyDescent="0.3">
      <c r="E241" s="138"/>
      <c r="K241" s="11"/>
      <c r="L241" s="11"/>
    </row>
    <row r="242" spans="5:12" x14ac:dyDescent="0.3">
      <c r="E242" s="138"/>
      <c r="K242" s="11"/>
      <c r="L242" s="11"/>
    </row>
    <row r="243" spans="5:12" x14ac:dyDescent="0.3">
      <c r="E243" s="138"/>
      <c r="K243" s="11"/>
      <c r="L243" s="11"/>
    </row>
    <row r="244" spans="5:12" x14ac:dyDescent="0.3">
      <c r="E244" s="138"/>
      <c r="K244" s="11"/>
      <c r="L244" s="11"/>
    </row>
    <row r="245" spans="5:12" x14ac:dyDescent="0.3">
      <c r="E245" s="138"/>
      <c r="K245" s="11"/>
      <c r="L245" s="11"/>
    </row>
    <row r="246" spans="5:12" x14ac:dyDescent="0.3">
      <c r="E246" s="138"/>
      <c r="K246" s="11"/>
      <c r="L246" s="11"/>
    </row>
    <row r="247" spans="5:12" x14ac:dyDescent="0.3">
      <c r="E247" s="138"/>
      <c r="K247" s="11"/>
      <c r="L247" s="11"/>
    </row>
    <row r="248" spans="5:12" x14ac:dyDescent="0.3">
      <c r="E248" s="138"/>
      <c r="K248" s="11"/>
      <c r="L248" s="11"/>
    </row>
    <row r="249" spans="5:12" x14ac:dyDescent="0.3">
      <c r="E249" s="138"/>
      <c r="K249" s="11"/>
      <c r="L249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9A34-DABF-48F1-9676-705CB1A72056}">
  <dimension ref="A1:N4"/>
  <sheetViews>
    <sheetView workbookViewId="0"/>
  </sheetViews>
  <sheetFormatPr defaultColWidth="8.77734375" defaultRowHeight="14.4" x14ac:dyDescent="0.3"/>
  <cols>
    <col min="1" max="8" width="17.44140625" customWidth="1"/>
    <col min="9" max="9" width="14" bestFit="1" customWidth="1"/>
    <col min="10" max="10" width="18.109375" bestFit="1" customWidth="1"/>
    <col min="11" max="11" width="18.44140625" bestFit="1" customWidth="1"/>
    <col min="12" max="12" width="16.44140625" bestFit="1" customWidth="1"/>
    <col min="13" max="14" width="10.44140625" bestFit="1" customWidth="1"/>
  </cols>
  <sheetData>
    <row r="1" spans="1:14" x14ac:dyDescent="0.3">
      <c r="A1" s="32" t="s">
        <v>316</v>
      </c>
      <c r="B1" s="32" t="s">
        <v>317</v>
      </c>
      <c r="C1" s="32" t="s">
        <v>318</v>
      </c>
      <c r="D1" s="32" t="s">
        <v>319</v>
      </c>
      <c r="E1" s="32" t="s">
        <v>320</v>
      </c>
      <c r="F1" s="32" t="s">
        <v>321</v>
      </c>
      <c r="G1" s="32" t="s">
        <v>322</v>
      </c>
      <c r="H1" s="32" t="s">
        <v>323</v>
      </c>
      <c r="I1" s="32" t="s">
        <v>471</v>
      </c>
      <c r="J1" s="32" t="s">
        <v>472</v>
      </c>
      <c r="K1" s="32" t="s">
        <v>473</v>
      </c>
      <c r="L1" s="32" t="s">
        <v>474</v>
      </c>
      <c r="M1" s="32" t="s">
        <v>489</v>
      </c>
      <c r="N1" s="32" t="s">
        <v>490</v>
      </c>
    </row>
    <row r="2" spans="1:14" x14ac:dyDescent="0.3">
      <c r="A2" s="3" t="s">
        <v>204</v>
      </c>
      <c r="B2" s="1" t="s">
        <v>434</v>
      </c>
      <c r="C2" s="3" t="s">
        <v>0</v>
      </c>
      <c r="D2" s="3" t="s">
        <v>2</v>
      </c>
      <c r="E2" s="136">
        <v>132</v>
      </c>
      <c r="F2" s="136">
        <v>15</v>
      </c>
      <c r="G2" s="137">
        <v>1</v>
      </c>
      <c r="H2" s="3">
        <v>0</v>
      </c>
      <c r="I2" s="3">
        <v>1</v>
      </c>
      <c r="J2" s="136">
        <v>2</v>
      </c>
      <c r="K2" s="136">
        <v>460</v>
      </c>
      <c r="L2" s="136">
        <v>0</v>
      </c>
      <c r="M2" s="136">
        <v>0.5</v>
      </c>
      <c r="N2" s="136">
        <v>2</v>
      </c>
    </row>
    <row r="3" spans="1:14" x14ac:dyDescent="0.3">
      <c r="A3" s="3"/>
      <c r="B3" s="3"/>
      <c r="C3" s="3"/>
      <c r="D3" s="3"/>
      <c r="E3" s="3"/>
      <c r="F3" s="3"/>
      <c r="G3" s="3"/>
      <c r="H3" s="3"/>
    </row>
    <row r="4" spans="1:14" x14ac:dyDescent="0.3">
      <c r="A4" s="3"/>
      <c r="B4" s="3"/>
      <c r="C4" s="3"/>
      <c r="D4" s="3"/>
      <c r="E4" s="3"/>
      <c r="F4" s="3"/>
      <c r="G4" s="3"/>
      <c r="H4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F4D05-33C8-48CF-83B3-08073B8A90F4}">
  <dimension ref="A1:P228"/>
  <sheetViews>
    <sheetView zoomScaleNormal="100" workbookViewId="0">
      <selection activeCell="P135" sqref="P135"/>
    </sheetView>
  </sheetViews>
  <sheetFormatPr defaultColWidth="18.77734375" defaultRowHeight="14.4" x14ac:dyDescent="0.3"/>
  <cols>
    <col min="1" max="1" width="11.109375" style="3" bestFit="1" customWidth="1"/>
    <col min="2" max="2" width="6.44140625" style="3" bestFit="1" customWidth="1"/>
    <col min="3" max="3" width="9.77734375" style="3" bestFit="1" customWidth="1"/>
    <col min="4" max="4" width="10.77734375" style="3" bestFit="1" customWidth="1"/>
    <col min="5" max="5" width="4.44140625" style="3" bestFit="1" customWidth="1"/>
    <col min="6" max="6" width="9.44140625" style="3" bestFit="1" customWidth="1"/>
    <col min="7" max="7" width="15.77734375" style="3" bestFit="1" customWidth="1"/>
    <col min="8" max="8" width="23.44140625" style="30" bestFit="1" customWidth="1"/>
    <col min="9" max="9" width="4.44140625" style="30" bestFit="1" customWidth="1"/>
    <col min="10" max="10" width="24.44140625" style="30" bestFit="1" customWidth="1"/>
    <col min="12" max="12" width="4.109375" bestFit="1" customWidth="1"/>
    <col min="14" max="14" width="18.77734375" style="3"/>
  </cols>
  <sheetData>
    <row r="1" spans="1:16" x14ac:dyDescent="0.3">
      <c r="A1" s="25" t="s">
        <v>324</v>
      </c>
      <c r="B1" s="25" t="s">
        <v>325</v>
      </c>
      <c r="C1" s="25" t="s">
        <v>326</v>
      </c>
      <c r="D1" s="25" t="s">
        <v>327</v>
      </c>
      <c r="E1" s="25" t="s">
        <v>328</v>
      </c>
      <c r="F1" s="25" t="s">
        <v>329</v>
      </c>
      <c r="G1" s="25" t="s">
        <v>475</v>
      </c>
      <c r="H1" s="25" t="s">
        <v>421</v>
      </c>
      <c r="I1" s="25" t="s">
        <v>389</v>
      </c>
      <c r="J1" s="25" t="s">
        <v>390</v>
      </c>
      <c r="K1" s="25" t="s">
        <v>317</v>
      </c>
      <c r="L1" s="25" t="s">
        <v>323</v>
      </c>
      <c r="M1" s="25" t="s">
        <v>514</v>
      </c>
      <c r="N1" s="25" t="s">
        <v>491</v>
      </c>
    </row>
    <row r="2" spans="1:16" x14ac:dyDescent="0.3">
      <c r="A2" t="s">
        <v>205</v>
      </c>
      <c r="B2" t="s">
        <v>2</v>
      </c>
      <c r="C2" s="29">
        <v>6.8000000000000005E-2</v>
      </c>
      <c r="D2" s="29">
        <v>3.3000000000000002E-2</v>
      </c>
      <c r="E2" s="137">
        <v>1</v>
      </c>
      <c r="F2" s="3" t="s">
        <v>207</v>
      </c>
      <c r="G2" s="3" t="s">
        <v>207</v>
      </c>
      <c r="H2" s="30" t="s">
        <v>422</v>
      </c>
      <c r="I2" s="30">
        <v>0</v>
      </c>
      <c r="J2" s="30" t="s">
        <v>423</v>
      </c>
      <c r="K2" s="30" t="s">
        <v>476</v>
      </c>
      <c r="L2" s="30">
        <v>0</v>
      </c>
      <c r="M2" s="139">
        <v>0.9</v>
      </c>
      <c r="N2" s="3">
        <v>72</v>
      </c>
    </row>
    <row r="3" spans="1:16" s="34" customFormat="1" x14ac:dyDescent="0.3">
      <c r="A3" t="s">
        <v>435</v>
      </c>
      <c r="B3" t="s">
        <v>4</v>
      </c>
      <c r="C3" s="29">
        <v>0.14899999999999999</v>
      </c>
      <c r="D3" s="29">
        <v>7.1999999999999995E-2</v>
      </c>
      <c r="E3" s="139">
        <v>1</v>
      </c>
      <c r="F3" s="3" t="s">
        <v>438</v>
      </c>
      <c r="G3" s="3" t="s">
        <v>438</v>
      </c>
      <c r="H3" s="30" t="s">
        <v>422</v>
      </c>
      <c r="I3" s="30">
        <v>0</v>
      </c>
      <c r="J3" s="30" t="s">
        <v>423</v>
      </c>
      <c r="K3" s="30" t="s">
        <v>477</v>
      </c>
      <c r="L3" s="30">
        <v>0</v>
      </c>
      <c r="M3" s="139">
        <v>0.9</v>
      </c>
      <c r="N3" s="3">
        <v>158</v>
      </c>
      <c r="O3"/>
      <c r="P3"/>
    </row>
    <row r="4" spans="1:16" s="34" customFormat="1" x14ac:dyDescent="0.3">
      <c r="A4" t="s">
        <v>435</v>
      </c>
      <c r="B4" t="s">
        <v>4</v>
      </c>
      <c r="C4" s="29">
        <v>2.1000000000000001E-2</v>
      </c>
      <c r="D4" s="29">
        <v>0.01</v>
      </c>
      <c r="E4" s="139">
        <v>1</v>
      </c>
      <c r="F4" s="3" t="s">
        <v>207</v>
      </c>
      <c r="G4" s="3" t="s">
        <v>207</v>
      </c>
      <c r="H4" s="30" t="s">
        <v>422</v>
      </c>
      <c r="I4" s="30">
        <v>0</v>
      </c>
      <c r="J4" s="30" t="s">
        <v>423</v>
      </c>
      <c r="K4" s="30" t="s">
        <v>478</v>
      </c>
      <c r="L4" s="30">
        <v>0</v>
      </c>
      <c r="M4" s="139">
        <v>0.9</v>
      </c>
      <c r="N4" s="3">
        <v>22</v>
      </c>
      <c r="O4"/>
      <c r="P4"/>
    </row>
    <row r="5" spans="1:16" x14ac:dyDescent="0.3">
      <c r="A5" t="s">
        <v>208</v>
      </c>
      <c r="B5" t="s">
        <v>5</v>
      </c>
      <c r="C5" s="29">
        <v>6.9000000000000006E-2</v>
      </c>
      <c r="D5" s="29">
        <v>3.4000000000000002E-2</v>
      </c>
      <c r="E5" s="137">
        <v>1</v>
      </c>
      <c r="F5" s="3" t="s">
        <v>209</v>
      </c>
      <c r="G5" s="3" t="s">
        <v>209</v>
      </c>
      <c r="H5" s="30" t="s">
        <v>422</v>
      </c>
      <c r="I5" s="30">
        <v>0</v>
      </c>
      <c r="J5" s="30" t="s">
        <v>423</v>
      </c>
      <c r="K5" s="30"/>
      <c r="L5" s="30"/>
      <c r="M5" s="139">
        <v>0.9</v>
      </c>
      <c r="N5" s="3">
        <v>1</v>
      </c>
    </row>
    <row r="6" spans="1:16" x14ac:dyDescent="0.3">
      <c r="A6" t="s">
        <v>210</v>
      </c>
      <c r="B6" t="s">
        <v>6</v>
      </c>
      <c r="C6" s="29">
        <v>6.4000000000000001E-2</v>
      </c>
      <c r="D6" s="29">
        <v>3.1E-2</v>
      </c>
      <c r="E6" s="137">
        <v>1</v>
      </c>
      <c r="F6" s="3" t="s">
        <v>209</v>
      </c>
      <c r="G6" s="3" t="s">
        <v>209</v>
      </c>
      <c r="H6" s="30" t="s">
        <v>422</v>
      </c>
      <c r="I6" s="30">
        <v>0</v>
      </c>
      <c r="J6" s="30" t="s">
        <v>423</v>
      </c>
      <c r="K6" s="30"/>
      <c r="L6" s="30"/>
      <c r="M6" s="139">
        <v>0.9</v>
      </c>
      <c r="N6" s="3">
        <v>1</v>
      </c>
    </row>
    <row r="7" spans="1:16" x14ac:dyDescent="0.3">
      <c r="A7" t="s">
        <v>211</v>
      </c>
      <c r="B7" t="s">
        <v>7</v>
      </c>
      <c r="C7" s="29">
        <v>3.2000000000000001E-2</v>
      </c>
      <c r="D7" s="29">
        <v>1.6E-2</v>
      </c>
      <c r="E7" s="137">
        <v>1</v>
      </c>
      <c r="F7" s="3" t="s">
        <v>209</v>
      </c>
      <c r="G7" s="3" t="s">
        <v>209</v>
      </c>
      <c r="H7" s="30" t="s">
        <v>422</v>
      </c>
      <c r="I7" s="30">
        <v>0</v>
      </c>
      <c r="J7" s="30" t="s">
        <v>423</v>
      </c>
      <c r="K7" s="30"/>
      <c r="L7" s="30"/>
      <c r="M7" s="139">
        <v>0.9</v>
      </c>
      <c r="N7" s="3">
        <v>1</v>
      </c>
    </row>
    <row r="8" spans="1:16" x14ac:dyDescent="0.3">
      <c r="A8" t="s">
        <v>212</v>
      </c>
      <c r="B8" t="s">
        <v>8</v>
      </c>
      <c r="C8" s="29">
        <v>2.7E-2</v>
      </c>
      <c r="D8" s="29">
        <v>1.2999999999999999E-2</v>
      </c>
      <c r="E8" s="137">
        <v>1</v>
      </c>
      <c r="F8" s="3" t="s">
        <v>209</v>
      </c>
      <c r="G8" s="3" t="s">
        <v>209</v>
      </c>
      <c r="H8" s="30" t="s">
        <v>422</v>
      </c>
      <c r="I8" s="30">
        <v>0</v>
      </c>
      <c r="J8" s="30" t="s">
        <v>423</v>
      </c>
      <c r="K8" s="30"/>
      <c r="L8" s="30"/>
      <c r="M8" s="139">
        <v>0.9</v>
      </c>
      <c r="N8" s="3">
        <v>1</v>
      </c>
    </row>
    <row r="9" spans="1:16" x14ac:dyDescent="0.3">
      <c r="A9" t="s">
        <v>213</v>
      </c>
      <c r="B9" t="s">
        <v>9</v>
      </c>
      <c r="C9" s="29">
        <v>0.107</v>
      </c>
      <c r="D9" s="29">
        <v>5.1999999999999998E-2</v>
      </c>
      <c r="E9" s="137">
        <v>1</v>
      </c>
      <c r="F9" s="3" t="s">
        <v>207</v>
      </c>
      <c r="G9" s="3" t="s">
        <v>207</v>
      </c>
      <c r="H9" s="30" t="s">
        <v>422</v>
      </c>
      <c r="I9" s="30">
        <v>0</v>
      </c>
      <c r="J9" s="30" t="s">
        <v>423</v>
      </c>
      <c r="K9" s="30" t="s">
        <v>479</v>
      </c>
      <c r="L9" s="30">
        <v>0</v>
      </c>
      <c r="M9" s="139">
        <v>0.9</v>
      </c>
      <c r="N9" s="3">
        <v>114</v>
      </c>
    </row>
    <row r="10" spans="1:16" x14ac:dyDescent="0.3">
      <c r="A10" t="s">
        <v>214</v>
      </c>
      <c r="B10" t="s">
        <v>10</v>
      </c>
      <c r="C10" s="29">
        <v>0.17100000000000001</v>
      </c>
      <c r="D10" s="29">
        <v>8.3000000000000004E-2</v>
      </c>
      <c r="E10" s="137">
        <v>1</v>
      </c>
      <c r="F10" s="3" t="s">
        <v>438</v>
      </c>
      <c r="G10" s="3" t="s">
        <v>438</v>
      </c>
      <c r="H10" s="30" t="s">
        <v>422</v>
      </c>
      <c r="I10" s="30">
        <v>0</v>
      </c>
      <c r="J10" s="30" t="s">
        <v>423</v>
      </c>
      <c r="K10" s="30" t="s">
        <v>480</v>
      </c>
      <c r="L10" s="30">
        <v>0</v>
      </c>
      <c r="M10" s="139">
        <v>0.9</v>
      </c>
      <c r="N10" s="3">
        <v>182</v>
      </c>
    </row>
    <row r="11" spans="1:16" x14ac:dyDescent="0.3">
      <c r="A11" t="s">
        <v>214</v>
      </c>
      <c r="B11" t="s">
        <v>10</v>
      </c>
      <c r="C11" s="29">
        <v>0.17100000000000001</v>
      </c>
      <c r="D11" s="29">
        <v>8.3000000000000004E-2</v>
      </c>
      <c r="E11" s="137">
        <v>1</v>
      </c>
      <c r="F11" s="3" t="s">
        <v>438</v>
      </c>
      <c r="G11" s="3" t="s">
        <v>438</v>
      </c>
      <c r="H11" s="30" t="s">
        <v>422</v>
      </c>
      <c r="I11" s="30">
        <v>0</v>
      </c>
      <c r="J11" s="30" t="s">
        <v>423</v>
      </c>
      <c r="K11" s="30" t="s">
        <v>480</v>
      </c>
      <c r="L11" s="30">
        <v>0</v>
      </c>
      <c r="M11" s="139">
        <v>0.9</v>
      </c>
      <c r="N11" s="3">
        <v>182</v>
      </c>
    </row>
    <row r="12" spans="1:16" x14ac:dyDescent="0.3">
      <c r="A12" t="s">
        <v>215</v>
      </c>
      <c r="B12" t="s">
        <v>11</v>
      </c>
      <c r="C12" s="29">
        <v>0.17100000000000001</v>
      </c>
      <c r="D12" s="29">
        <v>8.3000000000000004E-2</v>
      </c>
      <c r="E12" s="137">
        <v>1</v>
      </c>
      <c r="F12" s="3" t="s">
        <v>438</v>
      </c>
      <c r="G12" s="3" t="s">
        <v>438</v>
      </c>
      <c r="H12" s="30" t="s">
        <v>422</v>
      </c>
      <c r="I12" s="30">
        <v>0</v>
      </c>
      <c r="J12" s="30" t="s">
        <v>423</v>
      </c>
      <c r="K12" s="30" t="s">
        <v>480</v>
      </c>
      <c r="L12" s="30">
        <v>0</v>
      </c>
      <c r="M12" s="139">
        <v>0.9</v>
      </c>
      <c r="N12" s="3">
        <v>182</v>
      </c>
    </row>
    <row r="13" spans="1:16" x14ac:dyDescent="0.3">
      <c r="A13" t="s">
        <v>216</v>
      </c>
      <c r="B13" t="s">
        <v>12</v>
      </c>
      <c r="C13" s="29">
        <v>0.17100000000000001</v>
      </c>
      <c r="D13" s="29">
        <v>8.3000000000000004E-2</v>
      </c>
      <c r="E13" s="137">
        <v>1</v>
      </c>
      <c r="F13" s="3" t="s">
        <v>438</v>
      </c>
      <c r="G13" s="3" t="s">
        <v>438</v>
      </c>
      <c r="H13" s="30" t="s">
        <v>422</v>
      </c>
      <c r="I13" s="30">
        <v>0</v>
      </c>
      <c r="J13" s="30" t="s">
        <v>423</v>
      </c>
      <c r="K13" s="30" t="s">
        <v>480</v>
      </c>
      <c r="L13" s="30">
        <v>0</v>
      </c>
      <c r="M13" s="139">
        <v>0.9</v>
      </c>
      <c r="N13" s="3">
        <v>182</v>
      </c>
    </row>
    <row r="14" spans="1:16" x14ac:dyDescent="0.3">
      <c r="A14" t="s">
        <v>216</v>
      </c>
      <c r="B14" t="s">
        <v>12</v>
      </c>
      <c r="C14" s="29">
        <v>0.26900000000000002</v>
      </c>
      <c r="D14" s="29">
        <v>0.13</v>
      </c>
      <c r="E14" s="137">
        <v>1</v>
      </c>
      <c r="F14" s="3" t="s">
        <v>206</v>
      </c>
      <c r="G14" s="3" t="s">
        <v>206</v>
      </c>
      <c r="H14" s="30" t="s">
        <v>422</v>
      </c>
      <c r="I14" s="30">
        <v>0</v>
      </c>
      <c r="J14" s="30" t="s">
        <v>423</v>
      </c>
      <c r="K14" s="30" t="s">
        <v>481</v>
      </c>
      <c r="L14" s="30">
        <v>0</v>
      </c>
      <c r="M14" s="139">
        <v>0.9</v>
      </c>
      <c r="N14" s="3">
        <v>286</v>
      </c>
    </row>
    <row r="15" spans="1:16" x14ac:dyDescent="0.3">
      <c r="A15" t="s">
        <v>216</v>
      </c>
      <c r="B15" t="s">
        <v>12</v>
      </c>
      <c r="C15" s="29">
        <v>0.26900000000000002</v>
      </c>
      <c r="D15" s="29">
        <v>0.13</v>
      </c>
      <c r="E15" s="137">
        <v>1</v>
      </c>
      <c r="F15" s="3" t="s">
        <v>206</v>
      </c>
      <c r="G15" s="3" t="s">
        <v>206</v>
      </c>
      <c r="H15" s="30" t="s">
        <v>422</v>
      </c>
      <c r="I15" s="30">
        <v>0</v>
      </c>
      <c r="J15" s="30" t="s">
        <v>423</v>
      </c>
      <c r="K15" s="30" t="s">
        <v>481</v>
      </c>
      <c r="L15" s="30">
        <v>0</v>
      </c>
      <c r="M15" s="139">
        <v>0.9</v>
      </c>
      <c r="N15" s="3">
        <v>286</v>
      </c>
    </row>
    <row r="16" spans="1:16" x14ac:dyDescent="0.3">
      <c r="A16" t="s">
        <v>217</v>
      </c>
      <c r="B16" t="s">
        <v>13</v>
      </c>
      <c r="C16" s="29">
        <v>0.17100000000000001</v>
      </c>
      <c r="D16" s="29">
        <v>8.3000000000000004E-2</v>
      </c>
      <c r="E16" s="137">
        <v>1</v>
      </c>
      <c r="F16" s="3" t="s">
        <v>438</v>
      </c>
      <c r="G16" s="3" t="s">
        <v>438</v>
      </c>
      <c r="H16" s="30" t="s">
        <v>422</v>
      </c>
      <c r="I16" s="30">
        <v>0</v>
      </c>
      <c r="J16" s="30" t="s">
        <v>423</v>
      </c>
      <c r="K16" s="30" t="s">
        <v>480</v>
      </c>
      <c r="L16" s="30">
        <v>0</v>
      </c>
      <c r="M16" s="139">
        <v>0.9</v>
      </c>
      <c r="N16" s="3">
        <v>182</v>
      </c>
    </row>
    <row r="17" spans="1:14" x14ac:dyDescent="0.3">
      <c r="A17" t="s">
        <v>217</v>
      </c>
      <c r="B17" t="s">
        <v>13</v>
      </c>
      <c r="C17" s="29">
        <v>0.17100000000000001</v>
      </c>
      <c r="D17" s="29">
        <v>8.3000000000000004E-2</v>
      </c>
      <c r="E17" s="137">
        <v>1</v>
      </c>
      <c r="F17" s="3" t="s">
        <v>438</v>
      </c>
      <c r="G17" s="3" t="s">
        <v>438</v>
      </c>
      <c r="H17" s="30" t="s">
        <v>422</v>
      </c>
      <c r="I17" s="30">
        <v>0</v>
      </c>
      <c r="J17" s="30" t="s">
        <v>423</v>
      </c>
      <c r="K17" s="30" t="s">
        <v>480</v>
      </c>
      <c r="L17" s="30">
        <v>0</v>
      </c>
      <c r="M17" s="139">
        <v>0.9</v>
      </c>
      <c r="N17" s="3">
        <v>182</v>
      </c>
    </row>
    <row r="18" spans="1:14" x14ac:dyDescent="0.3">
      <c r="A18" t="s">
        <v>218</v>
      </c>
      <c r="B18" t="s">
        <v>14</v>
      </c>
      <c r="C18" s="29">
        <v>0.17100000000000001</v>
      </c>
      <c r="D18" s="29">
        <v>8.3000000000000004E-2</v>
      </c>
      <c r="E18" s="137">
        <v>1</v>
      </c>
      <c r="F18" s="3" t="s">
        <v>438</v>
      </c>
      <c r="G18" s="3" t="s">
        <v>438</v>
      </c>
      <c r="H18" s="30" t="s">
        <v>422</v>
      </c>
      <c r="I18" s="30">
        <v>0</v>
      </c>
      <c r="J18" s="30" t="s">
        <v>423</v>
      </c>
      <c r="K18" s="30" t="s">
        <v>482</v>
      </c>
      <c r="L18" s="30">
        <v>0</v>
      </c>
      <c r="M18" s="139">
        <v>0.9</v>
      </c>
      <c r="N18" s="3">
        <v>182</v>
      </c>
    </row>
    <row r="19" spans="1:14" x14ac:dyDescent="0.3">
      <c r="A19" t="s">
        <v>219</v>
      </c>
      <c r="B19" t="s">
        <v>15</v>
      </c>
      <c r="C19" s="29">
        <v>0.13500000000000001</v>
      </c>
      <c r="D19" s="29">
        <v>6.5000000000000002E-2</v>
      </c>
      <c r="E19" s="137">
        <v>1</v>
      </c>
      <c r="F19" s="3" t="s">
        <v>438</v>
      </c>
      <c r="G19" s="3" t="s">
        <v>438</v>
      </c>
      <c r="H19" s="30" t="s">
        <v>422</v>
      </c>
      <c r="I19" s="30">
        <v>0</v>
      </c>
      <c r="J19" s="30" t="s">
        <v>423</v>
      </c>
      <c r="K19" s="30" t="s">
        <v>483</v>
      </c>
      <c r="L19" s="30">
        <v>0</v>
      </c>
      <c r="M19" s="139">
        <v>0.9</v>
      </c>
      <c r="N19" s="3">
        <v>143</v>
      </c>
    </row>
    <row r="20" spans="1:14" x14ac:dyDescent="0.3">
      <c r="A20" t="s">
        <v>220</v>
      </c>
      <c r="B20" t="s">
        <v>16</v>
      </c>
      <c r="C20" s="29">
        <v>0.17100000000000001</v>
      </c>
      <c r="D20" s="29">
        <v>8.3000000000000004E-2</v>
      </c>
      <c r="E20" s="137">
        <v>1</v>
      </c>
      <c r="F20" s="3" t="s">
        <v>438</v>
      </c>
      <c r="G20" s="3" t="s">
        <v>438</v>
      </c>
      <c r="H20" s="30" t="s">
        <v>422</v>
      </c>
      <c r="I20" s="30">
        <v>0</v>
      </c>
      <c r="J20" s="30" t="s">
        <v>423</v>
      </c>
      <c r="K20" s="30" t="s">
        <v>480</v>
      </c>
      <c r="L20" s="30">
        <v>0</v>
      </c>
      <c r="M20" s="139">
        <v>0.9</v>
      </c>
      <c r="N20" s="3">
        <v>182</v>
      </c>
    </row>
    <row r="21" spans="1:14" x14ac:dyDescent="0.3">
      <c r="A21" t="s">
        <v>221</v>
      </c>
      <c r="B21" t="s">
        <v>17</v>
      </c>
      <c r="C21" s="29">
        <v>0.1</v>
      </c>
      <c r="D21" s="29">
        <v>4.8000000000000001E-2</v>
      </c>
      <c r="E21" s="137">
        <v>1</v>
      </c>
      <c r="F21" s="3" t="s">
        <v>209</v>
      </c>
      <c r="G21" s="3" t="s">
        <v>209</v>
      </c>
      <c r="H21" s="30" t="s">
        <v>422</v>
      </c>
      <c r="I21" s="30">
        <v>0</v>
      </c>
      <c r="J21" s="30" t="s">
        <v>423</v>
      </c>
      <c r="K21" s="30"/>
      <c r="L21" s="30"/>
      <c r="M21" s="139">
        <v>0.9</v>
      </c>
      <c r="N21" s="3">
        <v>1</v>
      </c>
    </row>
    <row r="22" spans="1:14" x14ac:dyDescent="0.3">
      <c r="A22" t="s">
        <v>222</v>
      </c>
      <c r="B22" t="s">
        <v>18</v>
      </c>
      <c r="C22" s="29">
        <v>0.13200000000000001</v>
      </c>
      <c r="D22" s="29">
        <v>6.4000000000000001E-2</v>
      </c>
      <c r="E22" s="137">
        <v>1</v>
      </c>
      <c r="F22" s="3" t="s">
        <v>209</v>
      </c>
      <c r="G22" s="3" t="s">
        <v>209</v>
      </c>
      <c r="H22" s="30" t="s">
        <v>422</v>
      </c>
      <c r="I22" s="30">
        <v>0</v>
      </c>
      <c r="J22" s="30" t="s">
        <v>423</v>
      </c>
      <c r="K22" s="30"/>
      <c r="L22" s="30"/>
      <c r="M22" s="139">
        <v>0.9</v>
      </c>
      <c r="N22" s="3">
        <v>1</v>
      </c>
    </row>
    <row r="23" spans="1:14" x14ac:dyDescent="0.3">
      <c r="A23" t="s">
        <v>222</v>
      </c>
      <c r="B23" t="s">
        <v>18</v>
      </c>
      <c r="C23" s="29">
        <v>8.8999999999999996E-2</v>
      </c>
      <c r="D23" s="29">
        <v>4.2999999999999997E-2</v>
      </c>
      <c r="E23" s="137">
        <v>1</v>
      </c>
      <c r="F23" s="3" t="s">
        <v>209</v>
      </c>
      <c r="G23" s="3" t="s">
        <v>209</v>
      </c>
      <c r="H23" s="30" t="s">
        <v>422</v>
      </c>
      <c r="I23" s="30">
        <v>0</v>
      </c>
      <c r="J23" s="30" t="s">
        <v>423</v>
      </c>
      <c r="K23" s="30"/>
      <c r="L23" s="30"/>
      <c r="M23" s="139">
        <v>0.9</v>
      </c>
      <c r="N23" s="3">
        <v>1</v>
      </c>
    </row>
    <row r="24" spans="1:14" x14ac:dyDescent="0.3">
      <c r="A24" t="s">
        <v>222</v>
      </c>
      <c r="B24" t="s">
        <v>18</v>
      </c>
      <c r="C24" s="29">
        <v>0.26900000000000002</v>
      </c>
      <c r="D24" s="29">
        <v>0.13</v>
      </c>
      <c r="E24" s="137">
        <v>1</v>
      </c>
      <c r="F24" s="3" t="s">
        <v>206</v>
      </c>
      <c r="G24" s="3" t="s">
        <v>206</v>
      </c>
      <c r="H24" s="30" t="s">
        <v>422</v>
      </c>
      <c r="I24" s="30">
        <v>0</v>
      </c>
      <c r="J24" s="30" t="s">
        <v>423</v>
      </c>
      <c r="K24" s="30" t="s">
        <v>481</v>
      </c>
      <c r="L24" s="30">
        <v>0</v>
      </c>
      <c r="M24" s="139">
        <v>0.9</v>
      </c>
      <c r="N24" s="3">
        <v>286</v>
      </c>
    </row>
    <row r="25" spans="1:14" x14ac:dyDescent="0.3">
      <c r="A25" t="s">
        <v>223</v>
      </c>
      <c r="B25" t="s">
        <v>19</v>
      </c>
      <c r="C25" s="29">
        <v>4.7E-2</v>
      </c>
      <c r="D25" s="29">
        <v>2.3E-2</v>
      </c>
      <c r="E25" s="137">
        <v>1</v>
      </c>
      <c r="F25" s="3" t="s">
        <v>209</v>
      </c>
      <c r="G25" s="3" t="s">
        <v>209</v>
      </c>
      <c r="H25" s="30" t="s">
        <v>422</v>
      </c>
      <c r="I25" s="30">
        <v>0</v>
      </c>
      <c r="J25" s="30" t="s">
        <v>423</v>
      </c>
      <c r="K25" s="30"/>
      <c r="L25" s="30"/>
      <c r="M25" s="139">
        <v>0.9</v>
      </c>
      <c r="N25" s="3">
        <v>1</v>
      </c>
    </row>
    <row r="26" spans="1:14" x14ac:dyDescent="0.3">
      <c r="A26" t="s">
        <v>223</v>
      </c>
      <c r="B26" t="s">
        <v>19</v>
      </c>
      <c r="C26" s="29">
        <v>0.182</v>
      </c>
      <c r="D26" s="29">
        <v>8.7999999999999995E-2</v>
      </c>
      <c r="E26" s="137">
        <v>1</v>
      </c>
      <c r="F26" s="3" t="s">
        <v>209</v>
      </c>
      <c r="G26" s="3" t="s">
        <v>209</v>
      </c>
      <c r="H26" s="30" t="s">
        <v>422</v>
      </c>
      <c r="I26" s="30">
        <v>0</v>
      </c>
      <c r="J26" s="30" t="s">
        <v>423</v>
      </c>
      <c r="K26" s="30"/>
      <c r="L26" s="30"/>
      <c r="M26" s="139">
        <v>0.9</v>
      </c>
      <c r="N26" s="3">
        <v>1</v>
      </c>
    </row>
    <row r="27" spans="1:14" x14ac:dyDescent="0.3">
      <c r="A27" t="s">
        <v>223</v>
      </c>
      <c r="B27" t="s">
        <v>19</v>
      </c>
      <c r="C27" s="29">
        <v>0.26900000000000002</v>
      </c>
      <c r="D27" s="29">
        <v>0.13</v>
      </c>
      <c r="E27" s="137">
        <v>1</v>
      </c>
      <c r="F27" s="3" t="s">
        <v>206</v>
      </c>
      <c r="G27" s="3" t="s">
        <v>206</v>
      </c>
      <c r="H27" s="30" t="s">
        <v>422</v>
      </c>
      <c r="I27" s="30">
        <v>0</v>
      </c>
      <c r="J27" s="30" t="s">
        <v>423</v>
      </c>
      <c r="K27" s="30" t="s">
        <v>481</v>
      </c>
      <c r="L27" s="30">
        <v>0</v>
      </c>
      <c r="M27" s="139">
        <v>0.9</v>
      </c>
      <c r="N27" s="3">
        <v>286</v>
      </c>
    </row>
    <row r="28" spans="1:14" x14ac:dyDescent="0.3">
      <c r="A28" t="s">
        <v>223</v>
      </c>
      <c r="B28" t="s">
        <v>19</v>
      </c>
      <c r="C28" s="29">
        <v>0.26900000000000002</v>
      </c>
      <c r="D28" s="29">
        <v>0.13</v>
      </c>
      <c r="E28" s="137">
        <v>1</v>
      </c>
      <c r="F28" s="3" t="s">
        <v>206</v>
      </c>
      <c r="G28" s="3" t="s">
        <v>206</v>
      </c>
      <c r="H28" s="30" t="s">
        <v>422</v>
      </c>
      <c r="I28" s="30">
        <v>0</v>
      </c>
      <c r="J28" s="30" t="s">
        <v>423</v>
      </c>
      <c r="K28" s="30" t="s">
        <v>481</v>
      </c>
      <c r="L28" s="30">
        <v>0</v>
      </c>
      <c r="M28" s="139">
        <v>0.9</v>
      </c>
      <c r="N28" s="3">
        <v>286</v>
      </c>
    </row>
    <row r="29" spans="1:14" x14ac:dyDescent="0.3">
      <c r="A29" t="s">
        <v>224</v>
      </c>
      <c r="B29" t="s">
        <v>20</v>
      </c>
      <c r="C29" s="29">
        <v>0.26900000000000002</v>
      </c>
      <c r="D29" s="29">
        <v>0.13</v>
      </c>
      <c r="E29" s="137">
        <v>1</v>
      </c>
      <c r="F29" s="3" t="s">
        <v>206</v>
      </c>
      <c r="G29" s="3" t="s">
        <v>206</v>
      </c>
      <c r="H29" s="30" t="s">
        <v>422</v>
      </c>
      <c r="I29" s="30">
        <v>0</v>
      </c>
      <c r="J29" s="30" t="s">
        <v>423</v>
      </c>
      <c r="K29" s="30" t="s">
        <v>481</v>
      </c>
      <c r="L29" s="30">
        <v>0</v>
      </c>
      <c r="M29" s="139">
        <v>0.9</v>
      </c>
      <c r="N29" s="3">
        <v>286</v>
      </c>
    </row>
    <row r="30" spans="1:14" x14ac:dyDescent="0.3">
      <c r="A30" t="s">
        <v>225</v>
      </c>
      <c r="B30" t="s">
        <v>21</v>
      </c>
      <c r="C30" s="29">
        <v>0.17100000000000001</v>
      </c>
      <c r="D30" s="29">
        <v>8.3000000000000004E-2</v>
      </c>
      <c r="E30" s="137">
        <v>1</v>
      </c>
      <c r="F30" s="3" t="s">
        <v>438</v>
      </c>
      <c r="G30" s="3" t="s">
        <v>438</v>
      </c>
      <c r="H30" s="30" t="s">
        <v>422</v>
      </c>
      <c r="I30" s="30">
        <v>0</v>
      </c>
      <c r="J30" s="30" t="s">
        <v>423</v>
      </c>
      <c r="K30" s="30" t="s">
        <v>480</v>
      </c>
      <c r="L30" s="30">
        <v>0</v>
      </c>
      <c r="M30" s="139">
        <v>0.9</v>
      </c>
      <c r="N30" s="3">
        <v>182</v>
      </c>
    </row>
    <row r="31" spans="1:14" x14ac:dyDescent="0.3">
      <c r="A31" t="s">
        <v>225</v>
      </c>
      <c r="B31" t="s">
        <v>21</v>
      </c>
      <c r="C31" s="29">
        <v>8.5000000000000006E-2</v>
      </c>
      <c r="D31" s="29">
        <v>4.1000000000000002E-2</v>
      </c>
      <c r="E31" s="137">
        <v>1</v>
      </c>
      <c r="F31" s="3" t="s">
        <v>207</v>
      </c>
      <c r="G31" s="3" t="s">
        <v>207</v>
      </c>
      <c r="H31" s="30" t="s">
        <v>422</v>
      </c>
      <c r="I31" s="30">
        <v>0</v>
      </c>
      <c r="J31" s="30" t="s">
        <v>423</v>
      </c>
      <c r="K31" s="30" t="s">
        <v>484</v>
      </c>
      <c r="L31" s="30">
        <v>0</v>
      </c>
      <c r="M31" s="139">
        <v>0.9</v>
      </c>
      <c r="N31" s="3">
        <v>90</v>
      </c>
    </row>
    <row r="32" spans="1:14" x14ac:dyDescent="0.3">
      <c r="A32" t="s">
        <v>226</v>
      </c>
      <c r="B32" t="s">
        <v>22</v>
      </c>
      <c r="C32" s="29">
        <v>0.17100000000000001</v>
      </c>
      <c r="D32" s="29">
        <v>8.3000000000000004E-2</v>
      </c>
      <c r="E32" s="137">
        <v>1</v>
      </c>
      <c r="F32" s="3" t="s">
        <v>438</v>
      </c>
      <c r="G32" s="3" t="s">
        <v>438</v>
      </c>
      <c r="H32" s="30" t="s">
        <v>422</v>
      </c>
      <c r="I32" s="30">
        <v>0</v>
      </c>
      <c r="J32" s="30" t="s">
        <v>423</v>
      </c>
      <c r="K32" s="30" t="s">
        <v>485</v>
      </c>
      <c r="L32" s="30">
        <v>0</v>
      </c>
      <c r="M32" s="139">
        <v>0.9</v>
      </c>
      <c r="N32" s="3">
        <v>182</v>
      </c>
    </row>
    <row r="33" spans="1:14" x14ac:dyDescent="0.3">
      <c r="A33" t="s">
        <v>226</v>
      </c>
      <c r="B33" t="s">
        <v>22</v>
      </c>
      <c r="C33" s="29">
        <v>0.13500000000000001</v>
      </c>
      <c r="D33" s="29">
        <v>6.5000000000000002E-2</v>
      </c>
      <c r="E33" s="137">
        <v>1</v>
      </c>
      <c r="F33" s="3" t="s">
        <v>438</v>
      </c>
      <c r="G33" s="3" t="s">
        <v>438</v>
      </c>
      <c r="H33" s="30" t="s">
        <v>422</v>
      </c>
      <c r="I33" s="30">
        <v>0</v>
      </c>
      <c r="J33" s="30" t="s">
        <v>423</v>
      </c>
      <c r="K33" s="30" t="s">
        <v>483</v>
      </c>
      <c r="L33" s="30">
        <v>0</v>
      </c>
      <c r="M33" s="139">
        <v>0.9</v>
      </c>
      <c r="N33" s="3">
        <v>143</v>
      </c>
    </row>
    <row r="34" spans="1:14" x14ac:dyDescent="0.3">
      <c r="A34" t="s">
        <v>227</v>
      </c>
      <c r="B34" t="s">
        <v>23</v>
      </c>
      <c r="C34" s="29">
        <v>0.107</v>
      </c>
      <c r="D34" s="29">
        <v>5.1999999999999998E-2</v>
      </c>
      <c r="E34" s="137">
        <v>1</v>
      </c>
      <c r="F34" s="3" t="s">
        <v>207</v>
      </c>
      <c r="G34" s="3" t="s">
        <v>207</v>
      </c>
      <c r="H34" s="30" t="s">
        <v>422</v>
      </c>
      <c r="I34" s="30">
        <v>0</v>
      </c>
      <c r="J34" s="30" t="s">
        <v>423</v>
      </c>
      <c r="K34" s="30" t="s">
        <v>486</v>
      </c>
      <c r="L34" s="30">
        <v>0</v>
      </c>
      <c r="M34" s="139">
        <v>0.9</v>
      </c>
      <c r="N34" s="3">
        <v>114</v>
      </c>
    </row>
    <row r="35" spans="1:14" x14ac:dyDescent="0.3">
      <c r="A35" t="s">
        <v>227</v>
      </c>
      <c r="B35" t="s">
        <v>23</v>
      </c>
      <c r="C35" s="29">
        <v>0.107</v>
      </c>
      <c r="D35" s="29">
        <v>5.1999999999999998E-2</v>
      </c>
      <c r="E35" s="137">
        <v>1</v>
      </c>
      <c r="F35" s="3" t="s">
        <v>207</v>
      </c>
      <c r="G35" s="3" t="s">
        <v>207</v>
      </c>
      <c r="H35" s="30" t="s">
        <v>422</v>
      </c>
      <c r="I35" s="30">
        <v>0</v>
      </c>
      <c r="J35" s="30" t="s">
        <v>423</v>
      </c>
      <c r="K35" s="30" t="s">
        <v>479</v>
      </c>
      <c r="L35" s="30">
        <v>0</v>
      </c>
      <c r="M35" s="139">
        <v>0.9</v>
      </c>
      <c r="N35" s="3">
        <v>114</v>
      </c>
    </row>
    <row r="36" spans="1:14" x14ac:dyDescent="0.3">
      <c r="A36" t="s">
        <v>436</v>
      </c>
      <c r="B36" t="s">
        <v>24</v>
      </c>
      <c r="C36" s="29">
        <v>8.5000000000000006E-2</v>
      </c>
      <c r="D36" s="29">
        <v>4.1000000000000002E-2</v>
      </c>
      <c r="E36" s="137">
        <v>1</v>
      </c>
      <c r="F36" s="3" t="s">
        <v>207</v>
      </c>
      <c r="G36" s="3" t="s">
        <v>207</v>
      </c>
      <c r="H36" s="30" t="s">
        <v>422</v>
      </c>
      <c r="I36" s="30">
        <v>0</v>
      </c>
      <c r="J36" s="30" t="s">
        <v>423</v>
      </c>
      <c r="K36" s="30" t="s">
        <v>487</v>
      </c>
      <c r="L36" s="30">
        <v>0</v>
      </c>
      <c r="M36" s="139">
        <v>0.9</v>
      </c>
      <c r="N36" s="3">
        <v>90</v>
      </c>
    </row>
    <row r="37" spans="1:14" x14ac:dyDescent="0.3">
      <c r="A37" t="s">
        <v>436</v>
      </c>
      <c r="B37" t="s">
        <v>24</v>
      </c>
      <c r="C37" s="29">
        <v>8.5000000000000006E-2</v>
      </c>
      <c r="D37" s="29">
        <v>4.1000000000000002E-2</v>
      </c>
      <c r="E37" s="137">
        <v>1</v>
      </c>
      <c r="F37" s="3" t="s">
        <v>207</v>
      </c>
      <c r="G37" s="3" t="s">
        <v>207</v>
      </c>
      <c r="H37" s="30" t="s">
        <v>422</v>
      </c>
      <c r="I37" s="30">
        <v>0</v>
      </c>
      <c r="J37" s="30" t="s">
        <v>423</v>
      </c>
      <c r="K37" s="30" t="s">
        <v>484</v>
      </c>
      <c r="L37" s="30">
        <v>0</v>
      </c>
      <c r="M37" s="139">
        <v>0.9</v>
      </c>
      <c r="N37" s="3">
        <v>90</v>
      </c>
    </row>
    <row r="38" spans="1:14" x14ac:dyDescent="0.3">
      <c r="A38" t="s">
        <v>228</v>
      </c>
      <c r="B38" t="s">
        <v>26</v>
      </c>
      <c r="C38" s="29">
        <v>9.0999999999999998E-2</v>
      </c>
      <c r="D38" s="29">
        <v>4.3999999999999997E-2</v>
      </c>
      <c r="E38" s="137">
        <v>1</v>
      </c>
      <c r="F38" s="3" t="s">
        <v>209</v>
      </c>
      <c r="G38" s="3" t="s">
        <v>209</v>
      </c>
      <c r="H38" s="30" t="s">
        <v>422</v>
      </c>
      <c r="I38" s="30">
        <v>0</v>
      </c>
      <c r="J38" s="30" t="s">
        <v>423</v>
      </c>
      <c r="K38" s="30"/>
      <c r="L38" s="30"/>
      <c r="M38" s="139">
        <v>0.9</v>
      </c>
      <c r="N38" s="3">
        <v>1</v>
      </c>
    </row>
    <row r="39" spans="1:14" x14ac:dyDescent="0.3">
      <c r="A39" t="s">
        <v>229</v>
      </c>
      <c r="B39" t="s">
        <v>27</v>
      </c>
      <c r="C39" s="29">
        <v>0.13100000000000001</v>
      </c>
      <c r="D39" s="29">
        <v>6.3E-2</v>
      </c>
      <c r="E39" s="137">
        <v>1</v>
      </c>
      <c r="F39" s="3" t="s">
        <v>209</v>
      </c>
      <c r="G39" s="3" t="s">
        <v>209</v>
      </c>
      <c r="H39" s="30" t="s">
        <v>422</v>
      </c>
      <c r="I39" s="30">
        <v>0</v>
      </c>
      <c r="J39" s="30" t="s">
        <v>423</v>
      </c>
      <c r="K39" s="30"/>
      <c r="L39" s="30"/>
      <c r="M39" s="139">
        <v>0.9</v>
      </c>
      <c r="N39" s="3">
        <v>1</v>
      </c>
    </row>
    <row r="40" spans="1:14" x14ac:dyDescent="0.3">
      <c r="A40" t="s">
        <v>230</v>
      </c>
      <c r="B40" t="s">
        <v>28</v>
      </c>
      <c r="C40" s="29">
        <v>0.17100000000000001</v>
      </c>
      <c r="D40" s="29">
        <v>8.3000000000000004E-2</v>
      </c>
      <c r="E40" s="137">
        <v>1</v>
      </c>
      <c r="F40" s="3" t="s">
        <v>438</v>
      </c>
      <c r="G40" s="3" t="s">
        <v>438</v>
      </c>
      <c r="H40" s="30" t="s">
        <v>422</v>
      </c>
      <c r="I40" s="30">
        <v>0</v>
      </c>
      <c r="J40" s="30" t="s">
        <v>423</v>
      </c>
      <c r="K40" s="30" t="s">
        <v>480</v>
      </c>
      <c r="L40" s="30">
        <v>0</v>
      </c>
      <c r="M40" s="139">
        <v>0.9</v>
      </c>
      <c r="N40" s="3">
        <v>182</v>
      </c>
    </row>
    <row r="41" spans="1:14" x14ac:dyDescent="0.3">
      <c r="A41" t="s">
        <v>231</v>
      </c>
      <c r="B41" t="s">
        <v>29</v>
      </c>
      <c r="C41" s="29">
        <v>0.17100000000000001</v>
      </c>
      <c r="D41" s="29">
        <v>8.3000000000000004E-2</v>
      </c>
      <c r="E41" s="137">
        <v>1</v>
      </c>
      <c r="F41" s="3" t="s">
        <v>438</v>
      </c>
      <c r="G41" s="3" t="s">
        <v>438</v>
      </c>
      <c r="H41" s="30" t="s">
        <v>422</v>
      </c>
      <c r="I41" s="30">
        <v>0</v>
      </c>
      <c r="J41" s="30" t="s">
        <v>423</v>
      </c>
      <c r="K41" s="30" t="s">
        <v>480</v>
      </c>
      <c r="L41" s="30">
        <v>0</v>
      </c>
      <c r="M41" s="139">
        <v>0.9</v>
      </c>
      <c r="N41" s="3">
        <v>182</v>
      </c>
    </row>
    <row r="42" spans="1:14" x14ac:dyDescent="0.3">
      <c r="A42" t="s">
        <v>231</v>
      </c>
      <c r="B42" t="s">
        <v>29</v>
      </c>
      <c r="C42" s="29">
        <v>0.17100000000000001</v>
      </c>
      <c r="D42" s="29">
        <v>8.3000000000000004E-2</v>
      </c>
      <c r="E42" s="137">
        <v>1</v>
      </c>
      <c r="F42" s="3" t="s">
        <v>438</v>
      </c>
      <c r="G42" s="3" t="s">
        <v>438</v>
      </c>
      <c r="H42" s="30" t="s">
        <v>422</v>
      </c>
      <c r="I42" s="30">
        <v>0</v>
      </c>
      <c r="J42" s="30" t="s">
        <v>423</v>
      </c>
      <c r="K42" s="30" t="s">
        <v>480</v>
      </c>
      <c r="L42" s="30">
        <v>0</v>
      </c>
      <c r="M42" s="139">
        <v>0.9</v>
      </c>
      <c r="N42" s="3">
        <v>182</v>
      </c>
    </row>
    <row r="43" spans="1:14" x14ac:dyDescent="0.3">
      <c r="A43" t="s">
        <v>232</v>
      </c>
      <c r="B43" t="s">
        <v>30</v>
      </c>
      <c r="C43" s="29">
        <v>0.17100000000000001</v>
      </c>
      <c r="D43" s="29">
        <v>8.3000000000000004E-2</v>
      </c>
      <c r="E43" s="137">
        <v>1</v>
      </c>
      <c r="F43" s="3" t="s">
        <v>438</v>
      </c>
      <c r="G43" s="3" t="s">
        <v>438</v>
      </c>
      <c r="H43" s="30" t="s">
        <v>422</v>
      </c>
      <c r="I43" s="30">
        <v>0</v>
      </c>
      <c r="J43" s="30" t="s">
        <v>423</v>
      </c>
      <c r="K43" s="30" t="s">
        <v>485</v>
      </c>
      <c r="L43" s="30">
        <v>0</v>
      </c>
      <c r="M43" s="139">
        <v>0.9</v>
      </c>
      <c r="N43" s="3">
        <v>182</v>
      </c>
    </row>
    <row r="44" spans="1:14" x14ac:dyDescent="0.3">
      <c r="A44" t="s">
        <v>233</v>
      </c>
      <c r="B44" t="s">
        <v>31</v>
      </c>
      <c r="C44" s="29">
        <v>0.107</v>
      </c>
      <c r="D44" s="29">
        <v>5.1999999999999998E-2</v>
      </c>
      <c r="E44" s="137">
        <v>1</v>
      </c>
      <c r="F44" s="3" t="s">
        <v>207</v>
      </c>
      <c r="G44" s="3" t="s">
        <v>207</v>
      </c>
      <c r="H44" s="30" t="s">
        <v>422</v>
      </c>
      <c r="I44" s="30">
        <v>0</v>
      </c>
      <c r="J44" s="30" t="s">
        <v>423</v>
      </c>
      <c r="K44" s="30" t="s">
        <v>486</v>
      </c>
      <c r="L44" s="30">
        <v>0</v>
      </c>
      <c r="M44" s="139">
        <v>0.9</v>
      </c>
      <c r="N44" s="3">
        <v>114</v>
      </c>
    </row>
    <row r="45" spans="1:14" x14ac:dyDescent="0.3">
      <c r="A45" t="s">
        <v>233</v>
      </c>
      <c r="B45" t="s">
        <v>31</v>
      </c>
      <c r="C45" s="29">
        <v>0.13500000000000001</v>
      </c>
      <c r="D45" s="29">
        <v>6.5000000000000002E-2</v>
      </c>
      <c r="E45" s="137">
        <v>1</v>
      </c>
      <c r="F45" s="3" t="s">
        <v>438</v>
      </c>
      <c r="G45" s="3" t="s">
        <v>438</v>
      </c>
      <c r="H45" s="30" t="s">
        <v>422</v>
      </c>
      <c r="I45" s="30">
        <v>0</v>
      </c>
      <c r="J45" s="30" t="s">
        <v>423</v>
      </c>
      <c r="K45" s="30" t="s">
        <v>483</v>
      </c>
      <c r="L45" s="30">
        <v>0</v>
      </c>
      <c r="M45" s="139">
        <v>0.9</v>
      </c>
      <c r="N45" s="3">
        <v>143</v>
      </c>
    </row>
    <row r="46" spans="1:14" x14ac:dyDescent="0.3">
      <c r="A46" t="s">
        <v>234</v>
      </c>
      <c r="B46" t="s">
        <v>32</v>
      </c>
      <c r="C46" s="29">
        <v>0.17100000000000001</v>
      </c>
      <c r="D46" s="29">
        <v>8.3000000000000004E-2</v>
      </c>
      <c r="E46" s="137">
        <v>1</v>
      </c>
      <c r="F46" s="3" t="s">
        <v>438</v>
      </c>
      <c r="G46" s="3" t="s">
        <v>438</v>
      </c>
      <c r="H46" s="30" t="s">
        <v>422</v>
      </c>
      <c r="I46" s="30">
        <v>0</v>
      </c>
      <c r="J46" s="30" t="s">
        <v>423</v>
      </c>
      <c r="K46" s="30" t="s">
        <v>485</v>
      </c>
      <c r="L46" s="30">
        <v>0</v>
      </c>
      <c r="M46" s="139">
        <v>0.9</v>
      </c>
      <c r="N46" s="3">
        <v>182</v>
      </c>
    </row>
    <row r="47" spans="1:14" x14ac:dyDescent="0.3">
      <c r="A47" t="s">
        <v>235</v>
      </c>
      <c r="B47" t="s">
        <v>33</v>
      </c>
      <c r="C47" s="29">
        <v>0.17100000000000001</v>
      </c>
      <c r="D47" s="29">
        <v>8.3000000000000004E-2</v>
      </c>
      <c r="E47" s="137">
        <v>1</v>
      </c>
      <c r="F47" s="3" t="s">
        <v>438</v>
      </c>
      <c r="G47" s="3" t="s">
        <v>438</v>
      </c>
      <c r="H47" s="30" t="s">
        <v>422</v>
      </c>
      <c r="I47" s="30">
        <v>0</v>
      </c>
      <c r="J47" s="30" t="s">
        <v>423</v>
      </c>
      <c r="K47" s="30" t="s">
        <v>482</v>
      </c>
      <c r="L47" s="30">
        <v>0</v>
      </c>
      <c r="M47" s="139">
        <v>0.9</v>
      </c>
      <c r="N47" s="3">
        <v>182</v>
      </c>
    </row>
    <row r="48" spans="1:14" x14ac:dyDescent="0.3">
      <c r="A48" t="s">
        <v>236</v>
      </c>
      <c r="B48" t="s">
        <v>34</v>
      </c>
      <c r="C48" s="29">
        <v>0.17100000000000001</v>
      </c>
      <c r="D48" s="29">
        <v>8.3000000000000004E-2</v>
      </c>
      <c r="E48" s="137">
        <v>1</v>
      </c>
      <c r="F48" s="3" t="s">
        <v>438</v>
      </c>
      <c r="G48" s="3" t="s">
        <v>438</v>
      </c>
      <c r="H48" s="30" t="s">
        <v>422</v>
      </c>
      <c r="I48" s="30">
        <v>0</v>
      </c>
      <c r="J48" s="30" t="s">
        <v>423</v>
      </c>
      <c r="K48" s="30" t="s">
        <v>480</v>
      </c>
      <c r="L48" s="30">
        <v>0</v>
      </c>
      <c r="M48" s="139">
        <v>0.9</v>
      </c>
      <c r="N48" s="3">
        <v>182</v>
      </c>
    </row>
    <row r="49" spans="1:14" x14ac:dyDescent="0.3">
      <c r="A49" t="s">
        <v>237</v>
      </c>
      <c r="B49" t="s">
        <v>35</v>
      </c>
      <c r="C49" s="29">
        <v>0.26900000000000002</v>
      </c>
      <c r="D49" s="29">
        <v>0.13</v>
      </c>
      <c r="E49" s="137">
        <v>1</v>
      </c>
      <c r="F49" s="3" t="s">
        <v>206</v>
      </c>
      <c r="G49" s="3" t="s">
        <v>206</v>
      </c>
      <c r="H49" s="30" t="s">
        <v>422</v>
      </c>
      <c r="I49" s="30">
        <v>0</v>
      </c>
      <c r="J49" s="30" t="s">
        <v>423</v>
      </c>
      <c r="K49" s="30" t="s">
        <v>481</v>
      </c>
      <c r="L49" s="30">
        <v>0</v>
      </c>
      <c r="M49" s="139">
        <v>0.9</v>
      </c>
      <c r="N49" s="3">
        <v>286</v>
      </c>
    </row>
    <row r="50" spans="1:14" x14ac:dyDescent="0.3">
      <c r="A50" t="s">
        <v>238</v>
      </c>
      <c r="B50" t="s">
        <v>36</v>
      </c>
      <c r="C50" s="29">
        <v>0.26900000000000002</v>
      </c>
      <c r="D50" s="29">
        <v>0.13</v>
      </c>
      <c r="E50" s="137">
        <v>1</v>
      </c>
      <c r="F50" s="3" t="s">
        <v>206</v>
      </c>
      <c r="G50" s="3" t="s">
        <v>206</v>
      </c>
      <c r="H50" s="30" t="s">
        <v>422</v>
      </c>
      <c r="I50" s="30">
        <v>0</v>
      </c>
      <c r="J50" s="30" t="s">
        <v>423</v>
      </c>
      <c r="K50" s="30" t="s">
        <v>481</v>
      </c>
      <c r="L50" s="30">
        <v>0</v>
      </c>
      <c r="M50" s="139">
        <v>0.9</v>
      </c>
      <c r="N50" s="3">
        <v>286</v>
      </c>
    </row>
    <row r="51" spans="1:14" x14ac:dyDescent="0.3">
      <c r="A51" t="s">
        <v>238</v>
      </c>
      <c r="B51" t="s">
        <v>36</v>
      </c>
      <c r="C51" s="29">
        <v>0.26900000000000002</v>
      </c>
      <c r="D51" s="29">
        <v>0.13</v>
      </c>
      <c r="E51" s="137">
        <v>1</v>
      </c>
      <c r="F51" s="3" t="s">
        <v>206</v>
      </c>
      <c r="G51" s="3" t="s">
        <v>206</v>
      </c>
      <c r="H51" s="30" t="s">
        <v>422</v>
      </c>
      <c r="I51" s="30">
        <v>0</v>
      </c>
      <c r="J51" s="30" t="s">
        <v>423</v>
      </c>
      <c r="K51" s="30" t="s">
        <v>481</v>
      </c>
      <c r="L51" s="30">
        <v>0</v>
      </c>
      <c r="M51" s="139">
        <v>0.9</v>
      </c>
      <c r="N51" s="3">
        <v>286</v>
      </c>
    </row>
    <row r="52" spans="1:14" x14ac:dyDescent="0.3">
      <c r="A52" t="s">
        <v>238</v>
      </c>
      <c r="B52" t="s">
        <v>36</v>
      </c>
      <c r="C52" s="29">
        <v>0.26900000000000002</v>
      </c>
      <c r="D52" s="29">
        <v>0.13</v>
      </c>
      <c r="E52" s="137">
        <v>1</v>
      </c>
      <c r="F52" s="3" t="s">
        <v>206</v>
      </c>
      <c r="G52" s="3" t="s">
        <v>206</v>
      </c>
      <c r="H52" s="30" t="s">
        <v>422</v>
      </c>
      <c r="I52" s="30">
        <v>0</v>
      </c>
      <c r="J52" s="30" t="s">
        <v>423</v>
      </c>
      <c r="K52" s="30" t="s">
        <v>481</v>
      </c>
      <c r="L52" s="30">
        <v>0</v>
      </c>
      <c r="M52" s="139">
        <v>0.9</v>
      </c>
      <c r="N52" s="3">
        <v>286</v>
      </c>
    </row>
    <row r="53" spans="1:14" x14ac:dyDescent="0.3">
      <c r="A53" t="s">
        <v>238</v>
      </c>
      <c r="B53" t="s">
        <v>36</v>
      </c>
      <c r="C53" s="29">
        <v>0.107</v>
      </c>
      <c r="D53" s="29">
        <v>5.1999999999999998E-2</v>
      </c>
      <c r="E53" s="137">
        <v>1</v>
      </c>
      <c r="F53" s="3" t="s">
        <v>207</v>
      </c>
      <c r="G53" s="3" t="s">
        <v>207</v>
      </c>
      <c r="H53" s="30" t="s">
        <v>422</v>
      </c>
      <c r="I53" s="30">
        <v>0</v>
      </c>
      <c r="J53" s="30" t="s">
        <v>423</v>
      </c>
      <c r="K53" s="30" t="s">
        <v>479</v>
      </c>
      <c r="L53" s="30">
        <v>0</v>
      </c>
      <c r="M53" s="139">
        <v>0.9</v>
      </c>
      <c r="N53" s="3">
        <v>114</v>
      </c>
    </row>
    <row r="54" spans="1:14" x14ac:dyDescent="0.3">
      <c r="A54" t="s">
        <v>239</v>
      </c>
      <c r="B54" t="s">
        <v>37</v>
      </c>
      <c r="C54" s="29">
        <v>0.26900000000000002</v>
      </c>
      <c r="D54" s="29">
        <v>0.13</v>
      </c>
      <c r="E54" s="137">
        <v>1</v>
      </c>
      <c r="F54" s="3" t="s">
        <v>206</v>
      </c>
      <c r="G54" s="3" t="s">
        <v>206</v>
      </c>
      <c r="H54" s="30" t="s">
        <v>422</v>
      </c>
      <c r="I54" s="30">
        <v>0</v>
      </c>
      <c r="J54" s="30" t="s">
        <v>423</v>
      </c>
      <c r="K54" s="30" t="s">
        <v>481</v>
      </c>
      <c r="L54" s="30">
        <v>0</v>
      </c>
      <c r="M54" s="139">
        <v>0.9</v>
      </c>
      <c r="N54" s="3">
        <v>286</v>
      </c>
    </row>
    <row r="55" spans="1:14" x14ac:dyDescent="0.3">
      <c r="A55" t="s">
        <v>239</v>
      </c>
      <c r="B55" t="s">
        <v>37</v>
      </c>
      <c r="C55" s="29">
        <v>0.107</v>
      </c>
      <c r="D55" s="29">
        <v>5.1999999999999998E-2</v>
      </c>
      <c r="E55" s="137">
        <v>1</v>
      </c>
      <c r="F55" s="3" t="s">
        <v>207</v>
      </c>
      <c r="G55" s="3" t="s">
        <v>207</v>
      </c>
      <c r="H55" s="30" t="s">
        <v>422</v>
      </c>
      <c r="I55" s="30">
        <v>0</v>
      </c>
      <c r="J55" s="30" t="s">
        <v>423</v>
      </c>
      <c r="K55" s="30" t="s">
        <v>479</v>
      </c>
      <c r="L55" s="30">
        <v>0</v>
      </c>
      <c r="M55" s="139">
        <v>0.9</v>
      </c>
      <c r="N55" s="3">
        <v>114</v>
      </c>
    </row>
    <row r="56" spans="1:14" x14ac:dyDescent="0.3">
      <c r="A56" t="s">
        <v>240</v>
      </c>
      <c r="B56" t="s">
        <v>38</v>
      </c>
      <c r="C56" s="29">
        <v>0.17100000000000001</v>
      </c>
      <c r="D56" s="29">
        <v>8.3000000000000004E-2</v>
      </c>
      <c r="E56" s="137">
        <v>1</v>
      </c>
      <c r="F56" s="3" t="s">
        <v>438</v>
      </c>
      <c r="G56" s="3" t="s">
        <v>438</v>
      </c>
      <c r="H56" s="30" t="s">
        <v>422</v>
      </c>
      <c r="I56" s="30">
        <v>0</v>
      </c>
      <c r="J56" s="30" t="s">
        <v>423</v>
      </c>
      <c r="K56" s="30" t="s">
        <v>480</v>
      </c>
      <c r="L56" s="30">
        <v>0</v>
      </c>
      <c r="M56" s="139">
        <v>0.9</v>
      </c>
      <c r="N56" s="3">
        <v>182</v>
      </c>
    </row>
    <row r="57" spans="1:14" x14ac:dyDescent="0.3">
      <c r="A57" t="s">
        <v>240</v>
      </c>
      <c r="B57" t="s">
        <v>38</v>
      </c>
      <c r="C57" s="29">
        <v>0.26900000000000002</v>
      </c>
      <c r="D57" s="29">
        <v>0.13</v>
      </c>
      <c r="E57" s="137">
        <v>1</v>
      </c>
      <c r="F57" s="3" t="s">
        <v>206</v>
      </c>
      <c r="G57" s="3" t="s">
        <v>206</v>
      </c>
      <c r="H57" s="30" t="s">
        <v>422</v>
      </c>
      <c r="I57" s="30">
        <v>0</v>
      </c>
      <c r="J57" s="30" t="s">
        <v>423</v>
      </c>
      <c r="K57" s="30" t="s">
        <v>481</v>
      </c>
      <c r="L57" s="30">
        <v>0</v>
      </c>
      <c r="M57" s="139">
        <v>0.9</v>
      </c>
      <c r="N57" s="3">
        <v>286</v>
      </c>
    </row>
    <row r="58" spans="1:14" x14ac:dyDescent="0.3">
      <c r="A58" t="s">
        <v>241</v>
      </c>
      <c r="B58" t="s">
        <v>39</v>
      </c>
      <c r="C58" s="29">
        <v>0.17100000000000001</v>
      </c>
      <c r="D58" s="29">
        <v>8.3000000000000004E-2</v>
      </c>
      <c r="E58" s="137">
        <v>1</v>
      </c>
      <c r="F58" s="3" t="s">
        <v>438</v>
      </c>
      <c r="G58" s="3" t="s">
        <v>438</v>
      </c>
      <c r="H58" s="30" t="s">
        <v>422</v>
      </c>
      <c r="I58" s="30">
        <v>0</v>
      </c>
      <c r="J58" s="30" t="s">
        <v>423</v>
      </c>
      <c r="K58" s="30" t="s">
        <v>480</v>
      </c>
      <c r="L58" s="30">
        <v>0</v>
      </c>
      <c r="M58" s="139">
        <v>0.9</v>
      </c>
      <c r="N58" s="3">
        <v>182</v>
      </c>
    </row>
    <row r="59" spans="1:14" x14ac:dyDescent="0.3">
      <c r="A59" t="s">
        <v>242</v>
      </c>
      <c r="B59" t="s">
        <v>40</v>
      </c>
      <c r="C59" s="29">
        <v>0.17100000000000001</v>
      </c>
      <c r="D59" s="29">
        <v>8.3000000000000004E-2</v>
      </c>
      <c r="E59" s="137">
        <v>1</v>
      </c>
      <c r="F59" s="3" t="s">
        <v>438</v>
      </c>
      <c r="G59" s="3" t="s">
        <v>438</v>
      </c>
      <c r="H59" s="30" t="s">
        <v>422</v>
      </c>
      <c r="I59" s="30">
        <v>0</v>
      </c>
      <c r="J59" s="30" t="s">
        <v>423</v>
      </c>
      <c r="K59" s="30" t="s">
        <v>480</v>
      </c>
      <c r="L59" s="30">
        <v>0</v>
      </c>
      <c r="M59" s="139">
        <v>0.9</v>
      </c>
      <c r="N59" s="3">
        <v>182</v>
      </c>
    </row>
    <row r="60" spans="1:14" x14ac:dyDescent="0.3">
      <c r="A60" t="s">
        <v>242</v>
      </c>
      <c r="B60" t="s">
        <v>40</v>
      </c>
      <c r="C60" s="29">
        <v>0.13500000000000001</v>
      </c>
      <c r="D60" s="29">
        <v>6.5000000000000002E-2</v>
      </c>
      <c r="E60" s="137">
        <v>1</v>
      </c>
      <c r="F60" s="3" t="s">
        <v>438</v>
      </c>
      <c r="G60" s="3" t="s">
        <v>438</v>
      </c>
      <c r="H60" s="30" t="s">
        <v>422</v>
      </c>
      <c r="I60" s="30">
        <v>0</v>
      </c>
      <c r="J60" s="30" t="s">
        <v>423</v>
      </c>
      <c r="K60" s="30" t="s">
        <v>483</v>
      </c>
      <c r="L60" s="30">
        <v>0</v>
      </c>
      <c r="M60" s="139">
        <v>0.9</v>
      </c>
      <c r="N60" s="3">
        <v>143</v>
      </c>
    </row>
    <row r="61" spans="1:14" x14ac:dyDescent="0.3">
      <c r="A61" t="s">
        <v>243</v>
      </c>
      <c r="B61" t="s">
        <v>41</v>
      </c>
      <c r="C61" s="29">
        <v>0.107</v>
      </c>
      <c r="D61" s="29">
        <v>5.1999999999999998E-2</v>
      </c>
      <c r="E61" s="137">
        <v>1</v>
      </c>
      <c r="F61" s="3" t="s">
        <v>207</v>
      </c>
      <c r="G61" s="3" t="s">
        <v>207</v>
      </c>
      <c r="H61" s="30" t="s">
        <v>422</v>
      </c>
      <c r="I61" s="30">
        <v>0</v>
      </c>
      <c r="J61" s="30" t="s">
        <v>423</v>
      </c>
      <c r="K61" s="30" t="s">
        <v>479</v>
      </c>
      <c r="L61" s="30">
        <v>0</v>
      </c>
      <c r="M61" s="139">
        <v>0.9</v>
      </c>
      <c r="N61" s="3">
        <v>114</v>
      </c>
    </row>
    <row r="62" spans="1:14" x14ac:dyDescent="0.3">
      <c r="A62" t="s">
        <v>243</v>
      </c>
      <c r="B62" t="s">
        <v>41</v>
      </c>
      <c r="C62" s="29">
        <v>8.5000000000000006E-2</v>
      </c>
      <c r="D62" s="29">
        <v>4.1000000000000002E-2</v>
      </c>
      <c r="E62" s="137">
        <v>1</v>
      </c>
      <c r="F62" s="3" t="s">
        <v>207</v>
      </c>
      <c r="G62" s="3" t="s">
        <v>207</v>
      </c>
      <c r="H62" s="30" t="s">
        <v>422</v>
      </c>
      <c r="I62" s="30">
        <v>0</v>
      </c>
      <c r="J62" s="30" t="s">
        <v>423</v>
      </c>
      <c r="K62" s="30" t="s">
        <v>484</v>
      </c>
      <c r="L62" s="30">
        <v>0</v>
      </c>
      <c r="M62" s="139">
        <v>0.9</v>
      </c>
      <c r="N62" s="3">
        <v>90</v>
      </c>
    </row>
    <row r="63" spans="1:14" x14ac:dyDescent="0.3">
      <c r="A63" t="s">
        <v>244</v>
      </c>
      <c r="B63" t="s">
        <v>42</v>
      </c>
      <c r="C63" s="29">
        <v>0.17100000000000001</v>
      </c>
      <c r="D63" s="29">
        <v>8.3000000000000004E-2</v>
      </c>
      <c r="E63" s="137">
        <v>1</v>
      </c>
      <c r="F63" s="3" t="s">
        <v>438</v>
      </c>
      <c r="G63" s="3" t="s">
        <v>438</v>
      </c>
      <c r="H63" s="30" t="s">
        <v>422</v>
      </c>
      <c r="I63" s="30">
        <v>0</v>
      </c>
      <c r="J63" s="30" t="s">
        <v>423</v>
      </c>
      <c r="K63" s="30" t="s">
        <v>480</v>
      </c>
      <c r="L63" s="30">
        <v>0</v>
      </c>
      <c r="M63" s="139">
        <v>0.9</v>
      </c>
      <c r="N63" s="3">
        <v>182</v>
      </c>
    </row>
    <row r="64" spans="1:14" x14ac:dyDescent="0.3">
      <c r="A64" t="s">
        <v>244</v>
      </c>
      <c r="B64" t="s">
        <v>42</v>
      </c>
      <c r="C64" s="29">
        <v>0.107</v>
      </c>
      <c r="D64" s="29">
        <v>5.1999999999999998E-2</v>
      </c>
      <c r="E64" s="137">
        <v>1</v>
      </c>
      <c r="F64" s="3" t="s">
        <v>207</v>
      </c>
      <c r="G64" s="3" t="s">
        <v>207</v>
      </c>
      <c r="H64" s="30" t="s">
        <v>422</v>
      </c>
      <c r="I64" s="30">
        <v>0</v>
      </c>
      <c r="J64" s="30" t="s">
        <v>423</v>
      </c>
      <c r="K64" s="30" t="s">
        <v>479</v>
      </c>
      <c r="L64" s="30">
        <v>0</v>
      </c>
      <c r="M64" s="139">
        <v>0.9</v>
      </c>
      <c r="N64" s="3">
        <v>114</v>
      </c>
    </row>
    <row r="65" spans="1:14" x14ac:dyDescent="0.3">
      <c r="A65" t="s">
        <v>245</v>
      </c>
      <c r="B65" t="s">
        <v>43</v>
      </c>
      <c r="C65" s="29">
        <v>0.17100000000000001</v>
      </c>
      <c r="D65" s="29">
        <v>8.3000000000000004E-2</v>
      </c>
      <c r="E65" s="137">
        <v>1</v>
      </c>
      <c r="F65" s="3" t="s">
        <v>438</v>
      </c>
      <c r="G65" s="3" t="s">
        <v>438</v>
      </c>
      <c r="H65" s="30" t="s">
        <v>422</v>
      </c>
      <c r="I65" s="30">
        <v>0</v>
      </c>
      <c r="J65" s="30" t="s">
        <v>423</v>
      </c>
      <c r="K65" s="30" t="s">
        <v>480</v>
      </c>
      <c r="L65" s="30">
        <v>0</v>
      </c>
      <c r="M65" s="139">
        <v>0.9</v>
      </c>
      <c r="N65" s="3">
        <v>182</v>
      </c>
    </row>
    <row r="66" spans="1:14" x14ac:dyDescent="0.3">
      <c r="A66" t="s">
        <v>246</v>
      </c>
      <c r="B66" t="s">
        <v>44</v>
      </c>
      <c r="C66" s="29">
        <v>0.17100000000000001</v>
      </c>
      <c r="D66" s="29">
        <v>8.3000000000000004E-2</v>
      </c>
      <c r="E66" s="137">
        <v>1</v>
      </c>
      <c r="F66" s="3" t="s">
        <v>438</v>
      </c>
      <c r="G66" s="3" t="s">
        <v>438</v>
      </c>
      <c r="H66" s="30" t="s">
        <v>422</v>
      </c>
      <c r="I66" s="30">
        <v>0</v>
      </c>
      <c r="J66" s="30" t="s">
        <v>423</v>
      </c>
      <c r="K66" s="30" t="s">
        <v>480</v>
      </c>
      <c r="L66" s="30">
        <v>0</v>
      </c>
      <c r="M66" s="139">
        <v>0.9</v>
      </c>
      <c r="N66" s="3">
        <v>182</v>
      </c>
    </row>
    <row r="67" spans="1:14" x14ac:dyDescent="0.3">
      <c r="A67" t="s">
        <v>246</v>
      </c>
      <c r="B67" t="s">
        <v>44</v>
      </c>
      <c r="C67" s="29">
        <v>0.17100000000000001</v>
      </c>
      <c r="D67" s="29">
        <v>8.3000000000000004E-2</v>
      </c>
      <c r="E67" s="137">
        <v>1</v>
      </c>
      <c r="F67" s="3" t="s">
        <v>438</v>
      </c>
      <c r="G67" s="3" t="s">
        <v>438</v>
      </c>
      <c r="H67" s="30" t="s">
        <v>422</v>
      </c>
      <c r="I67" s="30">
        <v>0</v>
      </c>
      <c r="J67" s="30" t="s">
        <v>423</v>
      </c>
      <c r="K67" s="30" t="s">
        <v>480</v>
      </c>
      <c r="L67" s="30">
        <v>0</v>
      </c>
      <c r="M67" s="139">
        <v>0.9</v>
      </c>
      <c r="N67" s="3">
        <v>182</v>
      </c>
    </row>
    <row r="68" spans="1:14" x14ac:dyDescent="0.3">
      <c r="A68" t="s">
        <v>247</v>
      </c>
      <c r="B68" t="s">
        <v>45</v>
      </c>
      <c r="C68" s="29">
        <v>0.17100000000000001</v>
      </c>
      <c r="D68" s="29">
        <v>8.3000000000000004E-2</v>
      </c>
      <c r="E68" s="137">
        <v>1</v>
      </c>
      <c r="F68" s="3" t="s">
        <v>438</v>
      </c>
      <c r="G68" s="3" t="s">
        <v>438</v>
      </c>
      <c r="H68" s="30" t="s">
        <v>422</v>
      </c>
      <c r="I68" s="30">
        <v>0</v>
      </c>
      <c r="J68" s="30" t="s">
        <v>423</v>
      </c>
      <c r="K68" s="30" t="s">
        <v>480</v>
      </c>
      <c r="L68" s="30">
        <v>0</v>
      </c>
      <c r="M68" s="139">
        <v>0.9</v>
      </c>
      <c r="N68" s="3">
        <v>182</v>
      </c>
    </row>
    <row r="69" spans="1:14" x14ac:dyDescent="0.3">
      <c r="A69" t="s">
        <v>247</v>
      </c>
      <c r="B69" t="s">
        <v>45</v>
      </c>
      <c r="C69" s="29">
        <v>0.17100000000000001</v>
      </c>
      <c r="D69" s="29">
        <v>8.3000000000000004E-2</v>
      </c>
      <c r="E69" s="137">
        <v>1</v>
      </c>
      <c r="F69" s="3" t="s">
        <v>438</v>
      </c>
      <c r="G69" s="3" t="s">
        <v>438</v>
      </c>
      <c r="H69" s="30" t="s">
        <v>422</v>
      </c>
      <c r="I69" s="30">
        <v>0</v>
      </c>
      <c r="J69" s="30" t="s">
        <v>423</v>
      </c>
      <c r="K69" s="30" t="s">
        <v>480</v>
      </c>
      <c r="L69" s="30">
        <v>0</v>
      </c>
      <c r="M69" s="139">
        <v>0.9</v>
      </c>
      <c r="N69" s="3">
        <v>182</v>
      </c>
    </row>
    <row r="70" spans="1:14" x14ac:dyDescent="0.3">
      <c r="A70" t="s">
        <v>248</v>
      </c>
      <c r="B70" t="s">
        <v>46</v>
      </c>
      <c r="C70" s="29">
        <v>0.17100000000000001</v>
      </c>
      <c r="D70" s="29">
        <v>8.3000000000000004E-2</v>
      </c>
      <c r="E70" s="137">
        <v>1</v>
      </c>
      <c r="F70" s="3" t="s">
        <v>438</v>
      </c>
      <c r="G70" s="3" t="s">
        <v>438</v>
      </c>
      <c r="H70" s="30" t="s">
        <v>422</v>
      </c>
      <c r="I70" s="30">
        <v>0</v>
      </c>
      <c r="J70" s="30" t="s">
        <v>423</v>
      </c>
      <c r="K70" s="30" t="s">
        <v>485</v>
      </c>
      <c r="L70" s="30">
        <v>0</v>
      </c>
      <c r="M70" s="139">
        <v>0.9</v>
      </c>
      <c r="N70" s="3">
        <v>182</v>
      </c>
    </row>
    <row r="71" spans="1:14" x14ac:dyDescent="0.3">
      <c r="A71" t="s">
        <v>248</v>
      </c>
      <c r="B71" t="s">
        <v>46</v>
      </c>
      <c r="C71" s="29">
        <v>0.17100000000000001</v>
      </c>
      <c r="D71" s="29">
        <v>8.3000000000000004E-2</v>
      </c>
      <c r="E71" s="137">
        <v>1</v>
      </c>
      <c r="F71" s="3" t="s">
        <v>438</v>
      </c>
      <c r="G71" s="3" t="s">
        <v>438</v>
      </c>
      <c r="H71" s="30" t="s">
        <v>422</v>
      </c>
      <c r="I71" s="30">
        <v>0</v>
      </c>
      <c r="J71" s="30" t="s">
        <v>423</v>
      </c>
      <c r="K71" s="30" t="s">
        <v>485</v>
      </c>
      <c r="L71" s="30">
        <v>0</v>
      </c>
      <c r="M71" s="139">
        <v>0.9</v>
      </c>
      <c r="N71" s="3">
        <v>182</v>
      </c>
    </row>
    <row r="72" spans="1:14" x14ac:dyDescent="0.3">
      <c r="A72" t="s">
        <v>249</v>
      </c>
      <c r="B72" t="s">
        <v>47</v>
      </c>
      <c r="C72" s="29">
        <v>0.17100000000000001</v>
      </c>
      <c r="D72" s="29">
        <v>8.3000000000000004E-2</v>
      </c>
      <c r="E72" s="137">
        <v>1</v>
      </c>
      <c r="F72" s="3" t="s">
        <v>438</v>
      </c>
      <c r="G72" s="3" t="s">
        <v>438</v>
      </c>
      <c r="H72" s="30" t="s">
        <v>422</v>
      </c>
      <c r="I72" s="30">
        <v>0</v>
      </c>
      <c r="J72" s="30" t="s">
        <v>423</v>
      </c>
      <c r="K72" s="30" t="s">
        <v>480</v>
      </c>
      <c r="L72" s="30">
        <v>0</v>
      </c>
      <c r="M72" s="139">
        <v>0.9</v>
      </c>
      <c r="N72" s="3">
        <v>182</v>
      </c>
    </row>
    <row r="73" spans="1:14" x14ac:dyDescent="0.3">
      <c r="A73" t="s">
        <v>250</v>
      </c>
      <c r="B73" t="s">
        <v>48</v>
      </c>
      <c r="C73" s="29">
        <v>0.107</v>
      </c>
      <c r="D73" s="29">
        <v>5.1999999999999998E-2</v>
      </c>
      <c r="E73" s="137">
        <v>1</v>
      </c>
      <c r="F73" s="3" t="s">
        <v>207</v>
      </c>
      <c r="G73" s="3" t="s">
        <v>207</v>
      </c>
      <c r="H73" s="30" t="s">
        <v>422</v>
      </c>
      <c r="I73" s="30">
        <v>0</v>
      </c>
      <c r="J73" s="30" t="s">
        <v>423</v>
      </c>
      <c r="K73" s="30" t="s">
        <v>479</v>
      </c>
      <c r="L73" s="30">
        <v>0</v>
      </c>
      <c r="M73" s="139">
        <v>0.9</v>
      </c>
      <c r="N73" s="3">
        <v>114</v>
      </c>
    </row>
    <row r="74" spans="1:14" x14ac:dyDescent="0.3">
      <c r="A74" t="s">
        <v>250</v>
      </c>
      <c r="B74" t="s">
        <v>48</v>
      </c>
      <c r="C74" s="29">
        <v>0.107</v>
      </c>
      <c r="D74" s="29">
        <v>5.1999999999999998E-2</v>
      </c>
      <c r="E74" s="137">
        <v>1</v>
      </c>
      <c r="F74" s="3" t="s">
        <v>207</v>
      </c>
      <c r="G74" s="3" t="s">
        <v>207</v>
      </c>
      <c r="H74" s="30" t="s">
        <v>422</v>
      </c>
      <c r="I74" s="30">
        <v>0</v>
      </c>
      <c r="J74" s="30" t="s">
        <v>423</v>
      </c>
      <c r="K74" s="30" t="s">
        <v>479</v>
      </c>
      <c r="L74" s="30">
        <v>0</v>
      </c>
      <c r="M74" s="139">
        <v>0.9</v>
      </c>
      <c r="N74" s="3">
        <v>114</v>
      </c>
    </row>
    <row r="75" spans="1:14" x14ac:dyDescent="0.3">
      <c r="A75" t="s">
        <v>250</v>
      </c>
      <c r="B75" t="s">
        <v>48</v>
      </c>
      <c r="C75" s="29">
        <v>0.107</v>
      </c>
      <c r="D75" s="29">
        <v>5.1999999999999998E-2</v>
      </c>
      <c r="E75" s="137">
        <v>1</v>
      </c>
      <c r="F75" s="3" t="s">
        <v>207</v>
      </c>
      <c r="G75" s="3" t="s">
        <v>207</v>
      </c>
      <c r="H75" s="30" t="s">
        <v>422</v>
      </c>
      <c r="I75" s="30">
        <v>0</v>
      </c>
      <c r="J75" s="30" t="s">
        <v>423</v>
      </c>
      <c r="K75" s="30" t="s">
        <v>479</v>
      </c>
      <c r="L75" s="30">
        <v>0</v>
      </c>
      <c r="M75" s="139">
        <v>0.9</v>
      </c>
      <c r="N75" s="3">
        <v>114</v>
      </c>
    </row>
    <row r="76" spans="1:14" x14ac:dyDescent="0.3">
      <c r="A76" t="s">
        <v>251</v>
      </c>
      <c r="B76" t="s">
        <v>49</v>
      </c>
      <c r="C76" s="29">
        <v>0.17100000000000001</v>
      </c>
      <c r="D76" s="29">
        <v>8.3000000000000004E-2</v>
      </c>
      <c r="E76" s="137">
        <v>1</v>
      </c>
      <c r="F76" s="3" t="s">
        <v>438</v>
      </c>
      <c r="G76" s="3" t="s">
        <v>438</v>
      </c>
      <c r="H76" s="30" t="s">
        <v>422</v>
      </c>
      <c r="I76" s="30">
        <v>0</v>
      </c>
      <c r="J76" s="30" t="s">
        <v>423</v>
      </c>
      <c r="K76" s="30" t="s">
        <v>480</v>
      </c>
      <c r="L76" s="30">
        <v>0</v>
      </c>
      <c r="M76" s="139">
        <v>0.9</v>
      </c>
      <c r="N76" s="3">
        <v>182</v>
      </c>
    </row>
    <row r="77" spans="1:14" x14ac:dyDescent="0.3">
      <c r="A77" t="s">
        <v>251</v>
      </c>
      <c r="B77" t="s">
        <v>49</v>
      </c>
      <c r="C77" s="29">
        <v>0.17100000000000001</v>
      </c>
      <c r="D77" s="29">
        <v>8.3000000000000004E-2</v>
      </c>
      <c r="E77" s="137">
        <v>1</v>
      </c>
      <c r="F77" s="3" t="s">
        <v>438</v>
      </c>
      <c r="G77" s="3" t="s">
        <v>438</v>
      </c>
      <c r="H77" s="30" t="s">
        <v>422</v>
      </c>
      <c r="I77" s="30">
        <v>0</v>
      </c>
      <c r="J77" s="30" t="s">
        <v>423</v>
      </c>
      <c r="K77" s="30" t="s">
        <v>480</v>
      </c>
      <c r="L77" s="30">
        <v>0</v>
      </c>
      <c r="M77" s="139">
        <v>0.9</v>
      </c>
      <c r="N77" s="3">
        <v>182</v>
      </c>
    </row>
    <row r="78" spans="1:14" x14ac:dyDescent="0.3">
      <c r="A78" t="s">
        <v>437</v>
      </c>
      <c r="B78" t="s">
        <v>50</v>
      </c>
      <c r="C78" s="29">
        <v>8.5000000000000006E-2</v>
      </c>
      <c r="D78" s="29">
        <v>4.1000000000000002E-2</v>
      </c>
      <c r="E78" s="137">
        <v>1</v>
      </c>
      <c r="F78" s="3" t="s">
        <v>207</v>
      </c>
      <c r="G78" s="3" t="s">
        <v>207</v>
      </c>
      <c r="H78" s="30" t="s">
        <v>422</v>
      </c>
      <c r="I78" s="30">
        <v>0</v>
      </c>
      <c r="J78" s="30" t="s">
        <v>423</v>
      </c>
      <c r="K78" s="30" t="s">
        <v>487</v>
      </c>
      <c r="L78" s="30">
        <v>0</v>
      </c>
      <c r="M78" s="139">
        <v>0.9</v>
      </c>
      <c r="N78" s="3">
        <v>90</v>
      </c>
    </row>
    <row r="79" spans="1:14" x14ac:dyDescent="0.3">
      <c r="A79" t="s">
        <v>437</v>
      </c>
      <c r="B79" t="s">
        <v>50</v>
      </c>
      <c r="C79" s="29">
        <v>8.5000000000000006E-2</v>
      </c>
      <c r="D79" s="29">
        <v>4.1000000000000002E-2</v>
      </c>
      <c r="E79" s="137">
        <v>1</v>
      </c>
      <c r="F79" s="3" t="s">
        <v>207</v>
      </c>
      <c r="G79" s="3" t="s">
        <v>207</v>
      </c>
      <c r="H79" s="30" t="s">
        <v>422</v>
      </c>
      <c r="I79" s="30">
        <v>0</v>
      </c>
      <c r="J79" s="30" t="s">
        <v>423</v>
      </c>
      <c r="K79" s="30" t="s">
        <v>484</v>
      </c>
      <c r="L79" s="30">
        <v>0</v>
      </c>
      <c r="M79" s="139">
        <v>0.9</v>
      </c>
      <c r="N79" s="3">
        <v>90</v>
      </c>
    </row>
    <row r="80" spans="1:14" x14ac:dyDescent="0.3">
      <c r="A80" t="s">
        <v>252</v>
      </c>
      <c r="B80" t="s">
        <v>51</v>
      </c>
      <c r="C80" s="29">
        <v>0.26900000000000002</v>
      </c>
      <c r="D80" s="29">
        <v>0.13</v>
      </c>
      <c r="E80" s="137">
        <v>1</v>
      </c>
      <c r="F80" s="3" t="s">
        <v>206</v>
      </c>
      <c r="G80" s="3" t="s">
        <v>206</v>
      </c>
      <c r="H80" s="30" t="s">
        <v>422</v>
      </c>
      <c r="I80" s="30">
        <v>0</v>
      </c>
      <c r="J80" s="30" t="s">
        <v>423</v>
      </c>
      <c r="K80" s="30" t="s">
        <v>481</v>
      </c>
      <c r="L80" s="30">
        <v>0</v>
      </c>
      <c r="M80" s="139">
        <v>0.9</v>
      </c>
      <c r="N80" s="3">
        <v>286</v>
      </c>
    </row>
    <row r="81" spans="1:14" x14ac:dyDescent="0.3">
      <c r="A81" t="s">
        <v>253</v>
      </c>
      <c r="B81" t="s">
        <v>52</v>
      </c>
      <c r="C81" s="29">
        <v>5.6000000000000001E-2</v>
      </c>
      <c r="D81" s="29">
        <v>2.7E-2</v>
      </c>
      <c r="E81" s="137">
        <v>1</v>
      </c>
      <c r="F81" s="3" t="s">
        <v>209</v>
      </c>
      <c r="G81" s="3" t="s">
        <v>209</v>
      </c>
      <c r="H81" s="30" t="s">
        <v>422</v>
      </c>
      <c r="I81" s="30">
        <v>0</v>
      </c>
      <c r="J81" s="30" t="s">
        <v>423</v>
      </c>
      <c r="K81" s="30"/>
      <c r="L81" s="30"/>
      <c r="M81" s="139">
        <v>0.9</v>
      </c>
      <c r="N81" s="3">
        <v>1</v>
      </c>
    </row>
    <row r="82" spans="1:14" x14ac:dyDescent="0.3">
      <c r="A82" t="s">
        <v>254</v>
      </c>
      <c r="B82" t="s">
        <v>53</v>
      </c>
      <c r="C82" s="29">
        <v>0.107</v>
      </c>
      <c r="D82" s="29">
        <v>5.1999999999999998E-2</v>
      </c>
      <c r="E82" s="137">
        <v>1</v>
      </c>
      <c r="F82" s="3" t="s">
        <v>207</v>
      </c>
      <c r="G82" s="3" t="s">
        <v>207</v>
      </c>
      <c r="H82" s="30" t="s">
        <v>422</v>
      </c>
      <c r="I82" s="30">
        <v>0</v>
      </c>
      <c r="J82" s="30" t="s">
        <v>423</v>
      </c>
      <c r="K82" s="30" t="s">
        <v>479</v>
      </c>
      <c r="L82" s="30">
        <v>0</v>
      </c>
      <c r="M82" s="139">
        <v>0.9</v>
      </c>
      <c r="N82" s="3">
        <v>114</v>
      </c>
    </row>
    <row r="83" spans="1:14" x14ac:dyDescent="0.3">
      <c r="A83" t="s">
        <v>254</v>
      </c>
      <c r="B83" t="s">
        <v>53</v>
      </c>
      <c r="C83" s="29">
        <v>0.107</v>
      </c>
      <c r="D83" s="29">
        <v>5.1999999999999998E-2</v>
      </c>
      <c r="E83" s="137">
        <v>1</v>
      </c>
      <c r="F83" s="3" t="s">
        <v>207</v>
      </c>
      <c r="G83" s="3" t="s">
        <v>207</v>
      </c>
      <c r="H83" s="30" t="s">
        <v>422</v>
      </c>
      <c r="I83" s="30">
        <v>0</v>
      </c>
      <c r="J83" s="30" t="s">
        <v>423</v>
      </c>
      <c r="K83" s="30" t="s">
        <v>479</v>
      </c>
      <c r="L83" s="30">
        <v>0</v>
      </c>
      <c r="M83" s="139">
        <v>0.9</v>
      </c>
      <c r="N83" s="3">
        <v>114</v>
      </c>
    </row>
    <row r="84" spans="1:14" x14ac:dyDescent="0.3">
      <c r="A84" t="s">
        <v>255</v>
      </c>
      <c r="B84" t="s">
        <v>54</v>
      </c>
      <c r="C84" s="29">
        <v>0.107</v>
      </c>
      <c r="D84" s="29">
        <v>5.1999999999999998E-2</v>
      </c>
      <c r="E84" s="137">
        <v>1</v>
      </c>
      <c r="F84" s="3" t="s">
        <v>207</v>
      </c>
      <c r="G84" s="3" t="s">
        <v>207</v>
      </c>
      <c r="H84" s="30" t="s">
        <v>422</v>
      </c>
      <c r="I84" s="30">
        <v>0</v>
      </c>
      <c r="J84" s="30" t="s">
        <v>423</v>
      </c>
      <c r="K84" s="30" t="s">
        <v>479</v>
      </c>
      <c r="L84" s="30">
        <v>0</v>
      </c>
      <c r="M84" s="139">
        <v>0.9</v>
      </c>
      <c r="N84" s="3">
        <v>114</v>
      </c>
    </row>
    <row r="85" spans="1:14" x14ac:dyDescent="0.3">
      <c r="A85" t="s">
        <v>255</v>
      </c>
      <c r="B85" t="s">
        <v>54</v>
      </c>
      <c r="C85" s="29">
        <v>0.17100000000000001</v>
      </c>
      <c r="D85" s="29">
        <v>8.3000000000000004E-2</v>
      </c>
      <c r="E85" s="137">
        <v>1</v>
      </c>
      <c r="F85" s="3" t="s">
        <v>438</v>
      </c>
      <c r="G85" s="3" t="s">
        <v>438</v>
      </c>
      <c r="H85" s="30" t="s">
        <v>422</v>
      </c>
      <c r="I85" s="30">
        <v>0</v>
      </c>
      <c r="J85" s="30" t="s">
        <v>423</v>
      </c>
      <c r="K85" s="30" t="s">
        <v>480</v>
      </c>
      <c r="L85" s="30">
        <v>0</v>
      </c>
      <c r="M85" s="139">
        <v>0.9</v>
      </c>
      <c r="N85" s="3">
        <v>182</v>
      </c>
    </row>
    <row r="86" spans="1:14" x14ac:dyDescent="0.3">
      <c r="A86" t="s">
        <v>255</v>
      </c>
      <c r="B86" t="s">
        <v>54</v>
      </c>
      <c r="C86" s="29">
        <v>0.17100000000000001</v>
      </c>
      <c r="D86" s="29">
        <v>8.3000000000000004E-2</v>
      </c>
      <c r="E86" s="137">
        <v>1</v>
      </c>
      <c r="F86" s="3" t="s">
        <v>438</v>
      </c>
      <c r="G86" s="3" t="s">
        <v>438</v>
      </c>
      <c r="H86" s="30" t="s">
        <v>422</v>
      </c>
      <c r="I86" s="30">
        <v>0</v>
      </c>
      <c r="J86" s="30" t="s">
        <v>423</v>
      </c>
      <c r="K86" s="30" t="s">
        <v>480</v>
      </c>
      <c r="L86" s="30">
        <v>0</v>
      </c>
      <c r="M86" s="139">
        <v>0.9</v>
      </c>
      <c r="N86" s="3">
        <v>182</v>
      </c>
    </row>
    <row r="87" spans="1:14" x14ac:dyDescent="0.3">
      <c r="A87" t="s">
        <v>256</v>
      </c>
      <c r="B87" t="s">
        <v>55</v>
      </c>
      <c r="C87" s="29">
        <v>0.13500000000000001</v>
      </c>
      <c r="D87" s="29">
        <v>6.5000000000000002E-2</v>
      </c>
      <c r="E87" s="137">
        <v>1</v>
      </c>
      <c r="F87" s="3" t="s">
        <v>438</v>
      </c>
      <c r="G87" s="3" t="s">
        <v>438</v>
      </c>
      <c r="H87" s="30" t="s">
        <v>422</v>
      </c>
      <c r="I87" s="30">
        <v>0</v>
      </c>
      <c r="J87" s="30" t="s">
        <v>423</v>
      </c>
      <c r="K87" s="30" t="s">
        <v>488</v>
      </c>
      <c r="L87" s="30">
        <v>0</v>
      </c>
      <c r="M87" s="139">
        <v>0.9</v>
      </c>
      <c r="N87" s="3">
        <v>143</v>
      </c>
    </row>
    <row r="88" spans="1:14" x14ac:dyDescent="0.3">
      <c r="A88" t="s">
        <v>256</v>
      </c>
      <c r="B88" t="s">
        <v>55</v>
      </c>
      <c r="C88" s="29">
        <v>0.13500000000000001</v>
      </c>
      <c r="D88" s="29">
        <v>6.5000000000000002E-2</v>
      </c>
      <c r="E88" s="137">
        <v>1</v>
      </c>
      <c r="F88" s="3" t="s">
        <v>438</v>
      </c>
      <c r="G88" s="3" t="s">
        <v>438</v>
      </c>
      <c r="H88" s="30" t="s">
        <v>422</v>
      </c>
      <c r="I88" s="30">
        <v>0</v>
      </c>
      <c r="J88" s="30" t="s">
        <v>423</v>
      </c>
      <c r="K88" s="30" t="s">
        <v>483</v>
      </c>
      <c r="L88" s="30">
        <v>0</v>
      </c>
      <c r="M88" s="139">
        <v>0.9</v>
      </c>
      <c r="N88" s="3">
        <v>143</v>
      </c>
    </row>
    <row r="89" spans="1:14" x14ac:dyDescent="0.3">
      <c r="A89" t="s">
        <v>257</v>
      </c>
      <c r="B89" t="s">
        <v>56</v>
      </c>
      <c r="C89" s="29">
        <v>0.13500000000000001</v>
      </c>
      <c r="D89" s="29">
        <v>6.5000000000000002E-2</v>
      </c>
      <c r="E89" s="137">
        <v>1</v>
      </c>
      <c r="F89" s="3" t="s">
        <v>438</v>
      </c>
      <c r="G89" s="3" t="s">
        <v>438</v>
      </c>
      <c r="H89" s="30" t="s">
        <v>422</v>
      </c>
      <c r="I89" s="30">
        <v>0</v>
      </c>
      <c r="J89" s="30" t="s">
        <v>423</v>
      </c>
      <c r="K89" s="30" t="s">
        <v>488</v>
      </c>
      <c r="L89" s="30">
        <v>0</v>
      </c>
      <c r="M89" s="139">
        <v>0.9</v>
      </c>
      <c r="N89" s="3">
        <v>143</v>
      </c>
    </row>
    <row r="90" spans="1:14" x14ac:dyDescent="0.3">
      <c r="A90" t="s">
        <v>257</v>
      </c>
      <c r="B90" t="s">
        <v>56</v>
      </c>
      <c r="C90" s="29">
        <v>0.107</v>
      </c>
      <c r="D90" s="29">
        <v>5.1999999999999998E-2</v>
      </c>
      <c r="E90" s="137">
        <v>1</v>
      </c>
      <c r="F90" s="3" t="s">
        <v>207</v>
      </c>
      <c r="G90" s="3" t="s">
        <v>207</v>
      </c>
      <c r="H90" s="30" t="s">
        <v>422</v>
      </c>
      <c r="I90" s="30">
        <v>0</v>
      </c>
      <c r="J90" s="30" t="s">
        <v>423</v>
      </c>
      <c r="K90" s="30" t="s">
        <v>479</v>
      </c>
      <c r="L90" s="30">
        <v>0</v>
      </c>
      <c r="M90" s="139">
        <v>0.9</v>
      </c>
      <c r="N90" s="3">
        <v>114</v>
      </c>
    </row>
    <row r="91" spans="1:14" x14ac:dyDescent="0.3">
      <c r="A91" t="s">
        <v>258</v>
      </c>
      <c r="B91" t="s">
        <v>57</v>
      </c>
      <c r="C91" s="29">
        <v>0.17100000000000001</v>
      </c>
      <c r="D91" s="29">
        <v>8.3000000000000004E-2</v>
      </c>
      <c r="E91" s="137">
        <v>1</v>
      </c>
      <c r="F91" s="3" t="s">
        <v>438</v>
      </c>
      <c r="G91" s="3" t="s">
        <v>438</v>
      </c>
      <c r="H91" s="30" t="s">
        <v>422</v>
      </c>
      <c r="I91" s="30">
        <v>0</v>
      </c>
      <c r="J91" s="30" t="s">
        <v>423</v>
      </c>
      <c r="K91" s="30" t="s">
        <v>480</v>
      </c>
      <c r="L91" s="30">
        <v>0</v>
      </c>
      <c r="M91" s="139">
        <v>0.9</v>
      </c>
      <c r="N91" s="3">
        <v>182</v>
      </c>
    </row>
    <row r="92" spans="1:14" x14ac:dyDescent="0.3">
      <c r="A92" t="s">
        <v>258</v>
      </c>
      <c r="B92" t="s">
        <v>57</v>
      </c>
      <c r="C92" s="29">
        <v>0.17100000000000001</v>
      </c>
      <c r="D92" s="29">
        <v>8.3000000000000004E-2</v>
      </c>
      <c r="E92" s="137">
        <v>1</v>
      </c>
      <c r="F92" s="3" t="s">
        <v>438</v>
      </c>
      <c r="G92" s="3" t="s">
        <v>438</v>
      </c>
      <c r="H92" s="30" t="s">
        <v>422</v>
      </c>
      <c r="I92" s="30">
        <v>0</v>
      </c>
      <c r="J92" s="30" t="s">
        <v>423</v>
      </c>
      <c r="K92" s="30" t="s">
        <v>482</v>
      </c>
      <c r="L92" s="30">
        <v>0</v>
      </c>
      <c r="M92" s="139">
        <v>0.9</v>
      </c>
      <c r="N92" s="3">
        <v>182</v>
      </c>
    </row>
    <row r="93" spans="1:14" x14ac:dyDescent="0.3">
      <c r="A93" t="s">
        <v>259</v>
      </c>
      <c r="B93" t="s">
        <v>58</v>
      </c>
      <c r="C93" s="29">
        <v>0.107</v>
      </c>
      <c r="D93" s="29">
        <v>5.1999999999999998E-2</v>
      </c>
      <c r="E93" s="137">
        <v>1</v>
      </c>
      <c r="F93" s="3" t="s">
        <v>207</v>
      </c>
      <c r="G93" s="3" t="s">
        <v>207</v>
      </c>
      <c r="H93" s="30" t="s">
        <v>422</v>
      </c>
      <c r="I93" s="30">
        <v>0</v>
      </c>
      <c r="J93" s="30" t="s">
        <v>423</v>
      </c>
      <c r="K93" s="30" t="s">
        <v>479</v>
      </c>
      <c r="L93" s="30">
        <v>0</v>
      </c>
      <c r="M93" s="139">
        <v>0.9</v>
      </c>
      <c r="N93" s="3">
        <v>114</v>
      </c>
    </row>
    <row r="94" spans="1:14" x14ac:dyDescent="0.3">
      <c r="A94" t="s">
        <v>259</v>
      </c>
      <c r="B94" t="s">
        <v>58</v>
      </c>
      <c r="C94" s="29">
        <v>0.107</v>
      </c>
      <c r="D94" s="29">
        <v>5.1999999999999998E-2</v>
      </c>
      <c r="E94" s="137">
        <v>1</v>
      </c>
      <c r="F94" s="3" t="s">
        <v>207</v>
      </c>
      <c r="G94" s="3" t="s">
        <v>207</v>
      </c>
      <c r="H94" s="30" t="s">
        <v>422</v>
      </c>
      <c r="I94" s="30">
        <v>0</v>
      </c>
      <c r="J94" s="30" t="s">
        <v>423</v>
      </c>
      <c r="K94" s="30" t="s">
        <v>479</v>
      </c>
      <c r="L94" s="30">
        <v>0</v>
      </c>
      <c r="M94" s="139">
        <v>0.9</v>
      </c>
      <c r="N94" s="3">
        <v>114</v>
      </c>
    </row>
    <row r="95" spans="1:14" x14ac:dyDescent="0.3">
      <c r="A95" t="s">
        <v>259</v>
      </c>
      <c r="B95" t="s">
        <v>58</v>
      </c>
      <c r="C95" s="29">
        <v>0.107</v>
      </c>
      <c r="D95" s="29">
        <v>5.1999999999999998E-2</v>
      </c>
      <c r="E95" s="137">
        <v>1</v>
      </c>
      <c r="F95" s="3" t="s">
        <v>207</v>
      </c>
      <c r="G95" s="3" t="s">
        <v>207</v>
      </c>
      <c r="H95" s="30" t="s">
        <v>422</v>
      </c>
      <c r="I95" s="30">
        <v>0</v>
      </c>
      <c r="J95" s="30" t="s">
        <v>423</v>
      </c>
      <c r="K95" s="30" t="s">
        <v>479</v>
      </c>
      <c r="L95" s="30">
        <v>0</v>
      </c>
      <c r="M95" s="139">
        <v>0.9</v>
      </c>
      <c r="N95" s="3">
        <v>114</v>
      </c>
    </row>
    <row r="96" spans="1:14" x14ac:dyDescent="0.3">
      <c r="A96" t="s">
        <v>260</v>
      </c>
      <c r="B96" t="s">
        <v>59</v>
      </c>
      <c r="C96" s="29">
        <v>0.151</v>
      </c>
      <c r="D96" s="29">
        <v>7.2999999999999995E-2</v>
      </c>
      <c r="E96" s="137">
        <v>1</v>
      </c>
      <c r="F96" s="3" t="s">
        <v>209</v>
      </c>
      <c r="G96" s="3" t="s">
        <v>209</v>
      </c>
      <c r="H96" s="30" t="s">
        <v>422</v>
      </c>
      <c r="I96" s="30">
        <v>0</v>
      </c>
      <c r="J96" s="30" t="s">
        <v>423</v>
      </c>
      <c r="K96" s="30"/>
      <c r="L96" s="30"/>
      <c r="M96" s="139">
        <v>0.9</v>
      </c>
      <c r="N96" s="3">
        <v>1</v>
      </c>
    </row>
    <row r="97" spans="1:14" x14ac:dyDescent="0.3">
      <c r="A97" t="s">
        <v>260</v>
      </c>
      <c r="B97" t="s">
        <v>59</v>
      </c>
      <c r="C97" s="29">
        <v>0.40500000000000003</v>
      </c>
      <c r="D97" s="29">
        <v>0.19600000000000001</v>
      </c>
      <c r="E97" s="137">
        <v>1</v>
      </c>
      <c r="F97" s="3" t="s">
        <v>209</v>
      </c>
      <c r="G97" s="3" t="s">
        <v>209</v>
      </c>
      <c r="H97" s="30" t="s">
        <v>422</v>
      </c>
      <c r="I97" s="30">
        <v>0</v>
      </c>
      <c r="J97" s="30" t="s">
        <v>423</v>
      </c>
      <c r="K97" s="30"/>
      <c r="L97" s="30"/>
      <c r="M97" s="139">
        <v>0.9</v>
      </c>
      <c r="N97" s="3">
        <v>1</v>
      </c>
    </row>
    <row r="98" spans="1:14" x14ac:dyDescent="0.3">
      <c r="A98" t="s">
        <v>260</v>
      </c>
      <c r="B98" t="s">
        <v>59</v>
      </c>
      <c r="C98" s="29">
        <v>0.184</v>
      </c>
      <c r="D98" s="29">
        <v>8.8999999999999996E-2</v>
      </c>
      <c r="E98" s="137">
        <v>1</v>
      </c>
      <c r="F98" s="3" t="s">
        <v>209</v>
      </c>
      <c r="G98" s="3" t="s">
        <v>209</v>
      </c>
      <c r="H98" s="30" t="s">
        <v>422</v>
      </c>
      <c r="I98" s="30">
        <v>0</v>
      </c>
      <c r="J98" s="30" t="s">
        <v>423</v>
      </c>
      <c r="K98" s="30"/>
      <c r="L98" s="30"/>
      <c r="M98" s="139">
        <v>0.9</v>
      </c>
      <c r="N98" s="3">
        <v>1</v>
      </c>
    </row>
    <row r="99" spans="1:14" x14ac:dyDescent="0.3">
      <c r="A99" t="s">
        <v>261</v>
      </c>
      <c r="B99" t="s">
        <v>60</v>
      </c>
      <c r="C99" s="29">
        <v>5.6000000000000001E-2</v>
      </c>
      <c r="D99" s="29">
        <v>2.7E-2</v>
      </c>
      <c r="E99" s="137">
        <v>1</v>
      </c>
      <c r="F99" s="3" t="s">
        <v>209</v>
      </c>
      <c r="G99" s="3" t="s">
        <v>209</v>
      </c>
      <c r="H99" s="30" t="s">
        <v>422</v>
      </c>
      <c r="I99" s="30">
        <v>0</v>
      </c>
      <c r="J99" s="30" t="s">
        <v>423</v>
      </c>
      <c r="K99" s="30"/>
      <c r="L99" s="30"/>
      <c r="M99" s="139">
        <v>0.9</v>
      </c>
      <c r="N99" s="3">
        <v>1</v>
      </c>
    </row>
    <row r="100" spans="1:14" x14ac:dyDescent="0.3">
      <c r="A100" t="s">
        <v>261</v>
      </c>
      <c r="B100" t="s">
        <v>60</v>
      </c>
      <c r="C100" s="29">
        <v>0.107</v>
      </c>
      <c r="D100" s="29">
        <v>5.1999999999999998E-2</v>
      </c>
      <c r="E100" s="137">
        <v>1</v>
      </c>
      <c r="F100" s="3" t="s">
        <v>207</v>
      </c>
      <c r="G100" s="3" t="s">
        <v>207</v>
      </c>
      <c r="H100" s="30" t="s">
        <v>422</v>
      </c>
      <c r="I100" s="30">
        <v>0</v>
      </c>
      <c r="J100" s="30" t="s">
        <v>423</v>
      </c>
      <c r="K100" s="30" t="s">
        <v>479</v>
      </c>
      <c r="L100" s="30">
        <v>0</v>
      </c>
      <c r="M100" s="139">
        <v>0.9</v>
      </c>
      <c r="N100" s="3">
        <v>114</v>
      </c>
    </row>
    <row r="101" spans="1:14" x14ac:dyDescent="0.3">
      <c r="A101" t="s">
        <v>261</v>
      </c>
      <c r="B101" t="s">
        <v>60</v>
      </c>
      <c r="C101" s="29">
        <v>0.107</v>
      </c>
      <c r="D101" s="29">
        <v>5.1999999999999998E-2</v>
      </c>
      <c r="E101" s="137">
        <v>1</v>
      </c>
      <c r="F101" s="3" t="s">
        <v>207</v>
      </c>
      <c r="G101" s="3" t="s">
        <v>207</v>
      </c>
      <c r="H101" s="30" t="s">
        <v>422</v>
      </c>
      <c r="I101" s="30">
        <v>0</v>
      </c>
      <c r="J101" s="30" t="s">
        <v>423</v>
      </c>
      <c r="K101" s="30" t="s">
        <v>479</v>
      </c>
      <c r="L101" s="30">
        <v>0</v>
      </c>
      <c r="M101" s="139">
        <v>0.9</v>
      </c>
      <c r="N101" s="3">
        <v>114</v>
      </c>
    </row>
    <row r="102" spans="1:14" x14ac:dyDescent="0.3">
      <c r="A102" t="s">
        <v>262</v>
      </c>
      <c r="B102" t="s">
        <v>61</v>
      </c>
      <c r="C102" s="29">
        <v>0.26900000000000002</v>
      </c>
      <c r="D102" s="29">
        <v>0.13</v>
      </c>
      <c r="E102" s="137">
        <v>1</v>
      </c>
      <c r="F102" s="3" t="s">
        <v>206</v>
      </c>
      <c r="G102" s="3" t="s">
        <v>206</v>
      </c>
      <c r="H102" s="30" t="s">
        <v>422</v>
      </c>
      <c r="I102" s="30">
        <v>0</v>
      </c>
      <c r="J102" s="30" t="s">
        <v>423</v>
      </c>
      <c r="K102" s="30" t="s">
        <v>481</v>
      </c>
      <c r="L102" s="30">
        <v>0</v>
      </c>
      <c r="M102" s="139">
        <v>0.9</v>
      </c>
      <c r="N102" s="3">
        <v>286</v>
      </c>
    </row>
    <row r="103" spans="1:14" x14ac:dyDescent="0.3">
      <c r="A103" t="s">
        <v>263</v>
      </c>
      <c r="B103" t="s">
        <v>62</v>
      </c>
      <c r="C103" s="29">
        <v>0.26900000000000002</v>
      </c>
      <c r="D103" s="29">
        <v>0.13</v>
      </c>
      <c r="E103" s="137">
        <v>1</v>
      </c>
      <c r="F103" s="3" t="s">
        <v>206</v>
      </c>
      <c r="G103" s="3" t="s">
        <v>206</v>
      </c>
      <c r="H103" s="30" t="s">
        <v>422</v>
      </c>
      <c r="I103" s="30">
        <v>0</v>
      </c>
      <c r="J103" s="30" t="s">
        <v>423</v>
      </c>
      <c r="K103" s="30" t="s">
        <v>481</v>
      </c>
      <c r="L103" s="30">
        <v>0</v>
      </c>
      <c r="M103" s="139">
        <v>0.9</v>
      </c>
      <c r="N103" s="3">
        <v>286</v>
      </c>
    </row>
    <row r="104" spans="1:14" x14ac:dyDescent="0.3">
      <c r="A104" t="s">
        <v>264</v>
      </c>
      <c r="B104" t="s">
        <v>63</v>
      </c>
      <c r="C104" s="29">
        <v>0.26900000000000002</v>
      </c>
      <c r="D104" s="29">
        <v>0.13</v>
      </c>
      <c r="E104" s="137">
        <v>1</v>
      </c>
      <c r="F104" s="3" t="s">
        <v>206</v>
      </c>
      <c r="G104" s="3" t="s">
        <v>206</v>
      </c>
      <c r="H104" s="30" t="s">
        <v>422</v>
      </c>
      <c r="I104" s="30">
        <v>0</v>
      </c>
      <c r="J104" s="30" t="s">
        <v>423</v>
      </c>
      <c r="K104" s="30" t="s">
        <v>481</v>
      </c>
      <c r="L104" s="30">
        <v>0</v>
      </c>
      <c r="M104" s="139">
        <v>0.9</v>
      </c>
      <c r="N104" s="3">
        <v>286</v>
      </c>
    </row>
    <row r="105" spans="1:14" x14ac:dyDescent="0.3">
      <c r="A105" t="s">
        <v>265</v>
      </c>
      <c r="B105" t="s">
        <v>64</v>
      </c>
      <c r="C105" s="29">
        <v>0.50800000000000001</v>
      </c>
      <c r="D105" s="29">
        <v>0.246</v>
      </c>
      <c r="E105" s="137">
        <v>1</v>
      </c>
      <c r="F105" s="3" t="s">
        <v>209</v>
      </c>
      <c r="G105" s="3" t="s">
        <v>209</v>
      </c>
      <c r="H105" s="30" t="s">
        <v>422</v>
      </c>
      <c r="I105" s="30">
        <v>0</v>
      </c>
      <c r="J105" s="30" t="s">
        <v>423</v>
      </c>
      <c r="K105" s="30"/>
      <c r="L105" s="30"/>
      <c r="M105" s="139">
        <v>0.9</v>
      </c>
      <c r="N105" s="3">
        <v>1</v>
      </c>
    </row>
    <row r="106" spans="1:14" x14ac:dyDescent="0.3">
      <c r="A106" t="s">
        <v>266</v>
      </c>
      <c r="B106" t="s">
        <v>66</v>
      </c>
      <c r="C106" s="29">
        <v>9.5000000000000001E-2</v>
      </c>
      <c r="D106" s="29">
        <v>4.5999999999999999E-2</v>
      </c>
      <c r="E106" s="137">
        <v>1</v>
      </c>
      <c r="F106" s="3" t="s">
        <v>209</v>
      </c>
      <c r="G106" s="3" t="s">
        <v>209</v>
      </c>
      <c r="H106" s="30" t="s">
        <v>422</v>
      </c>
      <c r="I106" s="30">
        <v>0</v>
      </c>
      <c r="J106" s="30" t="s">
        <v>423</v>
      </c>
      <c r="K106" s="30"/>
      <c r="L106" s="30"/>
      <c r="M106" s="139">
        <v>0.9</v>
      </c>
      <c r="N106" s="3">
        <v>1</v>
      </c>
    </row>
    <row r="107" spans="1:14" x14ac:dyDescent="0.3">
      <c r="A107" t="s">
        <v>267</v>
      </c>
      <c r="B107" t="s">
        <v>67</v>
      </c>
      <c r="C107" s="29">
        <v>0.16200000000000001</v>
      </c>
      <c r="D107" s="29">
        <v>7.8E-2</v>
      </c>
      <c r="E107" s="137">
        <v>1</v>
      </c>
      <c r="F107" s="3" t="s">
        <v>209</v>
      </c>
      <c r="G107" s="3" t="s">
        <v>209</v>
      </c>
      <c r="H107" s="30" t="s">
        <v>422</v>
      </c>
      <c r="I107" s="30">
        <v>0</v>
      </c>
      <c r="J107" s="30" t="s">
        <v>423</v>
      </c>
      <c r="K107" s="30"/>
      <c r="L107" s="30"/>
      <c r="M107" s="139">
        <v>0.9</v>
      </c>
      <c r="N107" s="3">
        <v>1</v>
      </c>
    </row>
    <row r="108" spans="1:14" x14ac:dyDescent="0.3">
      <c r="A108" t="s">
        <v>267</v>
      </c>
      <c r="B108" t="s">
        <v>67</v>
      </c>
      <c r="C108" s="29">
        <v>0.26900000000000002</v>
      </c>
      <c r="D108" s="29">
        <v>0.13</v>
      </c>
      <c r="E108" s="137">
        <v>1</v>
      </c>
      <c r="F108" s="3" t="s">
        <v>206</v>
      </c>
      <c r="G108" s="3" t="s">
        <v>206</v>
      </c>
      <c r="H108" s="30" t="s">
        <v>422</v>
      </c>
      <c r="I108" s="30">
        <v>0</v>
      </c>
      <c r="J108" s="30" t="s">
        <v>423</v>
      </c>
      <c r="K108" s="30" t="s">
        <v>481</v>
      </c>
      <c r="L108" s="30">
        <v>0</v>
      </c>
      <c r="M108" s="139">
        <v>0.9</v>
      </c>
      <c r="N108" s="3">
        <v>286</v>
      </c>
    </row>
    <row r="109" spans="1:14" x14ac:dyDescent="0.3">
      <c r="A109" t="s">
        <v>267</v>
      </c>
      <c r="B109" t="s">
        <v>67</v>
      </c>
      <c r="C109" s="29">
        <v>0.26900000000000002</v>
      </c>
      <c r="D109" s="29">
        <v>0.13</v>
      </c>
      <c r="E109" s="137">
        <v>1</v>
      </c>
      <c r="F109" s="3" t="s">
        <v>206</v>
      </c>
      <c r="G109" s="3" t="s">
        <v>206</v>
      </c>
      <c r="H109" s="30" t="s">
        <v>422</v>
      </c>
      <c r="I109" s="30">
        <v>0</v>
      </c>
      <c r="J109" s="30" t="s">
        <v>423</v>
      </c>
      <c r="K109" s="30" t="s">
        <v>481</v>
      </c>
      <c r="L109" s="30">
        <v>0</v>
      </c>
      <c r="M109" s="139">
        <v>0.9</v>
      </c>
      <c r="N109" s="3">
        <v>286</v>
      </c>
    </row>
    <row r="110" spans="1:14" x14ac:dyDescent="0.3">
      <c r="A110" t="s">
        <v>267</v>
      </c>
      <c r="B110" t="s">
        <v>67</v>
      </c>
      <c r="C110" s="29">
        <v>0.26900000000000002</v>
      </c>
      <c r="D110" s="29">
        <v>0.13</v>
      </c>
      <c r="E110" s="137">
        <v>1</v>
      </c>
      <c r="F110" s="3" t="s">
        <v>206</v>
      </c>
      <c r="G110" s="3" t="s">
        <v>206</v>
      </c>
      <c r="H110" s="30" t="s">
        <v>422</v>
      </c>
      <c r="I110" s="30">
        <v>0</v>
      </c>
      <c r="J110" s="30" t="s">
        <v>423</v>
      </c>
      <c r="K110" s="30" t="s">
        <v>481</v>
      </c>
      <c r="L110" s="30">
        <v>0</v>
      </c>
      <c r="M110" s="139">
        <v>0.9</v>
      </c>
      <c r="N110" s="3">
        <v>286</v>
      </c>
    </row>
    <row r="111" spans="1:14" x14ac:dyDescent="0.3">
      <c r="A111" t="s">
        <v>268</v>
      </c>
      <c r="B111" t="s">
        <v>65</v>
      </c>
      <c r="C111" s="29">
        <v>0.23699999999999999</v>
      </c>
      <c r="D111" s="29">
        <v>0.115</v>
      </c>
      <c r="E111" s="137">
        <v>1</v>
      </c>
      <c r="F111" s="3" t="s">
        <v>209</v>
      </c>
      <c r="G111" s="3" t="s">
        <v>209</v>
      </c>
      <c r="H111" s="30" t="s">
        <v>422</v>
      </c>
      <c r="I111" s="30">
        <v>0</v>
      </c>
      <c r="J111" s="30" t="s">
        <v>423</v>
      </c>
      <c r="K111" s="30"/>
      <c r="L111" s="30"/>
      <c r="M111" s="139">
        <v>0.9</v>
      </c>
      <c r="N111" s="3">
        <v>1</v>
      </c>
    </row>
    <row r="112" spans="1:14" x14ac:dyDescent="0.3">
      <c r="A112" t="s">
        <v>268</v>
      </c>
      <c r="B112" t="s">
        <v>65</v>
      </c>
      <c r="C112" s="29">
        <v>0.26900000000000002</v>
      </c>
      <c r="D112" s="29">
        <v>0.13</v>
      </c>
      <c r="E112" s="137">
        <v>1</v>
      </c>
      <c r="F112" s="3" t="s">
        <v>206</v>
      </c>
      <c r="G112" s="3" t="s">
        <v>206</v>
      </c>
      <c r="H112" s="30" t="s">
        <v>422</v>
      </c>
      <c r="I112" s="30">
        <v>0</v>
      </c>
      <c r="J112" s="30" t="s">
        <v>423</v>
      </c>
      <c r="K112" s="30" t="s">
        <v>481</v>
      </c>
      <c r="L112" s="30">
        <v>0</v>
      </c>
      <c r="M112" s="139">
        <v>0.9</v>
      </c>
      <c r="N112" s="3">
        <v>286</v>
      </c>
    </row>
    <row r="113" spans="1:14" x14ac:dyDescent="0.3">
      <c r="A113" t="s">
        <v>268</v>
      </c>
      <c r="B113" t="s">
        <v>65</v>
      </c>
      <c r="C113" s="29">
        <v>0.26900000000000002</v>
      </c>
      <c r="D113" s="29">
        <v>0.13</v>
      </c>
      <c r="E113" s="137">
        <v>1</v>
      </c>
      <c r="F113" s="3" t="s">
        <v>206</v>
      </c>
      <c r="G113" s="3" t="s">
        <v>206</v>
      </c>
      <c r="H113" s="30" t="s">
        <v>422</v>
      </c>
      <c r="I113" s="30">
        <v>0</v>
      </c>
      <c r="J113" s="30" t="s">
        <v>423</v>
      </c>
      <c r="K113" s="30" t="s">
        <v>481</v>
      </c>
      <c r="L113" s="30">
        <v>0</v>
      </c>
      <c r="M113" s="139">
        <v>0.9</v>
      </c>
      <c r="N113" s="3">
        <v>286</v>
      </c>
    </row>
    <row r="114" spans="1:14" x14ac:dyDescent="0.3">
      <c r="A114" t="s">
        <v>268</v>
      </c>
      <c r="B114" t="s">
        <v>65</v>
      </c>
      <c r="C114" s="29">
        <v>0.26900000000000002</v>
      </c>
      <c r="D114" s="29">
        <v>0.13</v>
      </c>
      <c r="E114" s="137">
        <v>1</v>
      </c>
      <c r="F114" s="3" t="s">
        <v>206</v>
      </c>
      <c r="G114" s="3" t="s">
        <v>206</v>
      </c>
      <c r="H114" s="30" t="s">
        <v>422</v>
      </c>
      <c r="I114" s="30">
        <v>0</v>
      </c>
      <c r="J114" s="30" t="s">
        <v>423</v>
      </c>
      <c r="K114" s="30" t="s">
        <v>481</v>
      </c>
      <c r="L114" s="30">
        <v>0</v>
      </c>
      <c r="M114" s="139">
        <v>0.9</v>
      </c>
      <c r="N114" s="3">
        <v>286</v>
      </c>
    </row>
    <row r="115" spans="1:14" x14ac:dyDescent="0.3">
      <c r="A115" t="s">
        <v>269</v>
      </c>
      <c r="B115" t="s">
        <v>68</v>
      </c>
      <c r="C115" s="29">
        <v>0.17100000000000001</v>
      </c>
      <c r="D115" s="29">
        <v>8.3000000000000004E-2</v>
      </c>
      <c r="E115" s="137">
        <v>1</v>
      </c>
      <c r="F115" s="3" t="s">
        <v>438</v>
      </c>
      <c r="G115" s="3" t="s">
        <v>438</v>
      </c>
      <c r="H115" s="30" t="s">
        <v>422</v>
      </c>
      <c r="I115" s="30">
        <v>0</v>
      </c>
      <c r="J115" s="30" t="s">
        <v>423</v>
      </c>
      <c r="K115" s="30" t="s">
        <v>480</v>
      </c>
      <c r="L115" s="30">
        <v>0</v>
      </c>
      <c r="M115" s="139">
        <v>0.9</v>
      </c>
      <c r="N115" s="3">
        <v>182</v>
      </c>
    </row>
    <row r="116" spans="1:14" x14ac:dyDescent="0.3">
      <c r="A116" t="s">
        <v>269</v>
      </c>
      <c r="B116" t="s">
        <v>68</v>
      </c>
      <c r="C116" s="29">
        <v>0.17100000000000001</v>
      </c>
      <c r="D116" s="29">
        <v>8.3000000000000004E-2</v>
      </c>
      <c r="E116" s="137">
        <v>1</v>
      </c>
      <c r="F116" s="3" t="s">
        <v>438</v>
      </c>
      <c r="G116" s="3" t="s">
        <v>438</v>
      </c>
      <c r="H116" s="30" t="s">
        <v>422</v>
      </c>
      <c r="I116" s="30">
        <v>0</v>
      </c>
      <c r="J116" s="30" t="s">
        <v>423</v>
      </c>
      <c r="K116" s="30" t="s">
        <v>480</v>
      </c>
      <c r="L116" s="30">
        <v>0</v>
      </c>
      <c r="M116" s="139">
        <v>0.9</v>
      </c>
      <c r="N116" s="3">
        <v>182</v>
      </c>
    </row>
    <row r="117" spans="1:14" x14ac:dyDescent="0.3">
      <c r="A117" t="s">
        <v>270</v>
      </c>
      <c r="B117" t="s">
        <v>69</v>
      </c>
      <c r="C117" s="29">
        <v>0.107</v>
      </c>
      <c r="D117" s="29">
        <v>5.1999999999999998E-2</v>
      </c>
      <c r="E117" s="137">
        <v>1</v>
      </c>
      <c r="F117" s="3" t="s">
        <v>207</v>
      </c>
      <c r="G117" s="3" t="s">
        <v>207</v>
      </c>
      <c r="H117" s="30" t="s">
        <v>422</v>
      </c>
      <c r="I117" s="30">
        <v>0</v>
      </c>
      <c r="J117" s="30" t="s">
        <v>423</v>
      </c>
      <c r="K117" s="30" t="s">
        <v>479</v>
      </c>
      <c r="L117" s="30">
        <v>0</v>
      </c>
      <c r="M117" s="139">
        <v>0.9</v>
      </c>
      <c r="N117" s="3">
        <v>114</v>
      </c>
    </row>
    <row r="118" spans="1:14" x14ac:dyDescent="0.3">
      <c r="A118" t="s">
        <v>270</v>
      </c>
      <c r="B118" t="s">
        <v>69</v>
      </c>
      <c r="C118" s="29">
        <v>0.17100000000000001</v>
      </c>
      <c r="D118" s="29">
        <v>8.3000000000000004E-2</v>
      </c>
      <c r="E118" s="137">
        <v>1</v>
      </c>
      <c r="F118" s="3" t="s">
        <v>438</v>
      </c>
      <c r="G118" s="3" t="s">
        <v>438</v>
      </c>
      <c r="H118" s="30" t="s">
        <v>422</v>
      </c>
      <c r="I118" s="30">
        <v>0</v>
      </c>
      <c r="J118" s="30" t="s">
        <v>423</v>
      </c>
      <c r="K118" s="30" t="s">
        <v>480</v>
      </c>
      <c r="L118" s="30">
        <v>0</v>
      </c>
      <c r="M118" s="139">
        <v>0.9</v>
      </c>
      <c r="N118" s="3">
        <v>182</v>
      </c>
    </row>
    <row r="119" spans="1:14" x14ac:dyDescent="0.3">
      <c r="A119" t="s">
        <v>271</v>
      </c>
      <c r="B119" t="s">
        <v>70</v>
      </c>
      <c r="C119" s="29">
        <v>0.17100000000000001</v>
      </c>
      <c r="D119" s="29">
        <v>8.3000000000000004E-2</v>
      </c>
      <c r="E119" s="137">
        <v>1</v>
      </c>
      <c r="F119" s="3" t="s">
        <v>438</v>
      </c>
      <c r="G119" s="3" t="s">
        <v>438</v>
      </c>
      <c r="H119" s="30" t="s">
        <v>422</v>
      </c>
      <c r="I119" s="30">
        <v>0</v>
      </c>
      <c r="J119" s="30" t="s">
        <v>423</v>
      </c>
      <c r="K119" s="30" t="s">
        <v>480</v>
      </c>
      <c r="L119" s="30">
        <v>0</v>
      </c>
      <c r="M119" s="139">
        <v>0.9</v>
      </c>
      <c r="N119" s="3">
        <v>182</v>
      </c>
    </row>
    <row r="120" spans="1:14" x14ac:dyDescent="0.3">
      <c r="A120" t="s">
        <v>271</v>
      </c>
      <c r="B120" t="s">
        <v>70</v>
      </c>
      <c r="C120" s="29">
        <v>0.17100000000000001</v>
      </c>
      <c r="D120" s="29">
        <v>8.3000000000000004E-2</v>
      </c>
      <c r="E120" s="137">
        <v>1</v>
      </c>
      <c r="F120" s="3" t="s">
        <v>438</v>
      </c>
      <c r="G120" s="3" t="s">
        <v>438</v>
      </c>
      <c r="H120" s="30" t="s">
        <v>422</v>
      </c>
      <c r="I120" s="30">
        <v>0</v>
      </c>
      <c r="J120" s="30" t="s">
        <v>423</v>
      </c>
      <c r="K120" s="30" t="s">
        <v>480</v>
      </c>
      <c r="L120" s="30">
        <v>0</v>
      </c>
      <c r="M120" s="139">
        <v>0.9</v>
      </c>
      <c r="N120" s="3">
        <v>182</v>
      </c>
    </row>
    <row r="121" spans="1:14" x14ac:dyDescent="0.3">
      <c r="A121" t="s">
        <v>271</v>
      </c>
      <c r="B121" t="s">
        <v>70</v>
      </c>
      <c r="C121" s="29">
        <v>0.17100000000000001</v>
      </c>
      <c r="D121" s="29">
        <v>8.3000000000000004E-2</v>
      </c>
      <c r="E121" s="137">
        <v>1</v>
      </c>
      <c r="F121" s="3" t="s">
        <v>438</v>
      </c>
      <c r="G121" s="3" t="s">
        <v>438</v>
      </c>
      <c r="H121" s="30" t="s">
        <v>422</v>
      </c>
      <c r="I121" s="30">
        <v>0</v>
      </c>
      <c r="J121" s="30" t="s">
        <v>423</v>
      </c>
      <c r="K121" s="30" t="s">
        <v>480</v>
      </c>
      <c r="L121" s="30">
        <v>0</v>
      </c>
      <c r="M121" s="139">
        <v>0.9</v>
      </c>
      <c r="N121" s="3">
        <v>182</v>
      </c>
    </row>
    <row r="122" spans="1:14" x14ac:dyDescent="0.3">
      <c r="A122" t="s">
        <v>272</v>
      </c>
      <c r="B122" t="s">
        <v>71</v>
      </c>
      <c r="C122" s="29">
        <v>3.5000000000000003E-2</v>
      </c>
      <c r="D122" s="29">
        <v>1.7000000000000001E-2</v>
      </c>
      <c r="E122" s="137">
        <v>1</v>
      </c>
      <c r="F122" s="3" t="s">
        <v>209</v>
      </c>
      <c r="G122" s="3" t="s">
        <v>209</v>
      </c>
      <c r="H122" s="30" t="s">
        <v>422</v>
      </c>
      <c r="I122" s="30">
        <v>0</v>
      </c>
      <c r="J122" s="30" t="s">
        <v>423</v>
      </c>
      <c r="K122" s="30"/>
      <c r="L122" s="30"/>
      <c r="M122" s="139">
        <v>0.9</v>
      </c>
      <c r="N122" s="3">
        <v>1</v>
      </c>
    </row>
    <row r="123" spans="1:14" x14ac:dyDescent="0.3">
      <c r="A123" t="s">
        <v>272</v>
      </c>
      <c r="B123" t="s">
        <v>71</v>
      </c>
      <c r="C123" s="29">
        <v>0.36</v>
      </c>
      <c r="D123" s="29">
        <v>0.17399999999999999</v>
      </c>
      <c r="E123" s="137">
        <v>1</v>
      </c>
      <c r="F123" s="3" t="s">
        <v>209</v>
      </c>
      <c r="G123" s="3" t="s">
        <v>209</v>
      </c>
      <c r="H123" s="30" t="s">
        <v>422</v>
      </c>
      <c r="I123" s="30">
        <v>0</v>
      </c>
      <c r="J123" s="30" t="s">
        <v>423</v>
      </c>
      <c r="K123" s="30"/>
      <c r="L123" s="30"/>
      <c r="M123" s="139">
        <v>0.9</v>
      </c>
      <c r="N123" s="3">
        <v>1</v>
      </c>
    </row>
    <row r="124" spans="1:14" x14ac:dyDescent="0.3">
      <c r="A124" t="s">
        <v>273</v>
      </c>
      <c r="B124" t="s">
        <v>72</v>
      </c>
      <c r="C124" s="29">
        <v>2.1999999999999999E-2</v>
      </c>
      <c r="D124" s="29">
        <v>0.01</v>
      </c>
      <c r="E124" s="137">
        <v>1</v>
      </c>
      <c r="F124" s="3" t="s">
        <v>209</v>
      </c>
      <c r="G124" s="3" t="s">
        <v>209</v>
      </c>
      <c r="H124" s="30" t="s">
        <v>422</v>
      </c>
      <c r="I124" s="30">
        <v>0</v>
      </c>
      <c r="J124" s="30" t="s">
        <v>423</v>
      </c>
      <c r="K124" s="30"/>
      <c r="L124" s="30"/>
      <c r="M124" s="139">
        <v>0.9</v>
      </c>
      <c r="N124" s="3">
        <v>1</v>
      </c>
    </row>
    <row r="125" spans="1:14" x14ac:dyDescent="0.3">
      <c r="A125" t="s">
        <v>274</v>
      </c>
      <c r="B125" t="s">
        <v>73</v>
      </c>
      <c r="C125" s="29">
        <v>0.28799999999999998</v>
      </c>
      <c r="D125" s="29">
        <v>0.13900000000000001</v>
      </c>
      <c r="E125" s="137">
        <v>1</v>
      </c>
      <c r="F125" s="3" t="s">
        <v>209</v>
      </c>
      <c r="G125" s="3" t="s">
        <v>209</v>
      </c>
      <c r="H125" s="30" t="s">
        <v>422</v>
      </c>
      <c r="I125" s="30">
        <v>0</v>
      </c>
      <c r="J125" s="30" t="s">
        <v>423</v>
      </c>
      <c r="K125" s="30"/>
      <c r="L125" s="30"/>
      <c r="M125" s="139">
        <v>0.9</v>
      </c>
      <c r="N125" s="3">
        <v>1</v>
      </c>
    </row>
    <row r="126" spans="1:14" x14ac:dyDescent="0.3">
      <c r="A126" t="s">
        <v>274</v>
      </c>
      <c r="B126" t="s">
        <v>73</v>
      </c>
      <c r="C126" s="29">
        <v>0.17100000000000001</v>
      </c>
      <c r="D126" s="29">
        <v>8.3000000000000004E-2</v>
      </c>
      <c r="E126" s="137">
        <v>1</v>
      </c>
      <c r="F126" s="3" t="s">
        <v>438</v>
      </c>
      <c r="G126" s="3" t="s">
        <v>438</v>
      </c>
      <c r="H126" s="30" t="s">
        <v>422</v>
      </c>
      <c r="I126" s="30">
        <v>0</v>
      </c>
      <c r="J126" s="30" t="s">
        <v>423</v>
      </c>
      <c r="K126" s="30" t="s">
        <v>480</v>
      </c>
      <c r="L126" s="30">
        <v>0</v>
      </c>
      <c r="M126" s="139">
        <v>0.9</v>
      </c>
      <c r="N126" s="3">
        <v>182</v>
      </c>
    </row>
    <row r="127" spans="1:14" x14ac:dyDescent="0.3">
      <c r="A127" t="s">
        <v>275</v>
      </c>
      <c r="B127" t="s">
        <v>74</v>
      </c>
      <c r="C127" s="29">
        <v>0.126</v>
      </c>
      <c r="D127" s="29">
        <v>6.0999999999999999E-2</v>
      </c>
      <c r="E127" s="137">
        <v>1</v>
      </c>
      <c r="F127" s="3" t="s">
        <v>209</v>
      </c>
      <c r="G127" s="3" t="s">
        <v>209</v>
      </c>
      <c r="H127" s="30" t="s">
        <v>422</v>
      </c>
      <c r="I127" s="30">
        <v>0</v>
      </c>
      <c r="J127" s="30" t="s">
        <v>423</v>
      </c>
      <c r="K127" s="30"/>
      <c r="L127" s="30"/>
      <c r="M127" s="139">
        <v>0.9</v>
      </c>
      <c r="N127" s="3">
        <v>1</v>
      </c>
    </row>
    <row r="128" spans="1:14" x14ac:dyDescent="0.3">
      <c r="A128" t="s">
        <v>276</v>
      </c>
      <c r="B128" t="s">
        <v>75</v>
      </c>
      <c r="C128" s="29">
        <v>0.106</v>
      </c>
      <c r="D128" s="29">
        <v>5.0999999999999997E-2</v>
      </c>
      <c r="E128" s="137">
        <v>1</v>
      </c>
      <c r="F128" s="3" t="s">
        <v>209</v>
      </c>
      <c r="G128" s="3" t="s">
        <v>209</v>
      </c>
      <c r="H128" s="30" t="s">
        <v>422</v>
      </c>
      <c r="I128" s="30">
        <v>0</v>
      </c>
      <c r="J128" s="30" t="s">
        <v>423</v>
      </c>
      <c r="K128" s="30"/>
      <c r="L128" s="30"/>
      <c r="M128" s="139">
        <v>0.9</v>
      </c>
      <c r="N128" s="3">
        <v>1</v>
      </c>
    </row>
    <row r="129" spans="1:14" x14ac:dyDescent="0.3">
      <c r="A129" t="s">
        <v>277</v>
      </c>
      <c r="B129" t="s">
        <v>76</v>
      </c>
      <c r="C129" s="29">
        <v>0.17100000000000001</v>
      </c>
      <c r="D129" s="29">
        <v>8.3000000000000004E-2</v>
      </c>
      <c r="E129" s="137">
        <v>1</v>
      </c>
      <c r="F129" s="3" t="s">
        <v>438</v>
      </c>
      <c r="G129" s="3" t="s">
        <v>438</v>
      </c>
      <c r="H129" s="30" t="s">
        <v>422</v>
      </c>
      <c r="I129" s="30">
        <v>0</v>
      </c>
      <c r="J129" s="30" t="s">
        <v>423</v>
      </c>
      <c r="K129" s="30" t="s">
        <v>480</v>
      </c>
      <c r="L129" s="30">
        <v>0</v>
      </c>
      <c r="M129" s="139">
        <v>0.9</v>
      </c>
      <c r="N129" s="3">
        <v>182</v>
      </c>
    </row>
    <row r="130" spans="1:14" x14ac:dyDescent="0.3">
      <c r="A130" t="s">
        <v>278</v>
      </c>
      <c r="B130" t="s">
        <v>77</v>
      </c>
      <c r="C130" s="29">
        <v>0.13500000000000001</v>
      </c>
      <c r="D130" s="29">
        <v>6.5000000000000002E-2</v>
      </c>
      <c r="E130" s="137">
        <v>1</v>
      </c>
      <c r="F130" s="3" t="s">
        <v>438</v>
      </c>
      <c r="G130" s="3" t="s">
        <v>438</v>
      </c>
      <c r="H130" s="30" t="s">
        <v>422</v>
      </c>
      <c r="I130" s="30">
        <v>0</v>
      </c>
      <c r="J130" s="30" t="s">
        <v>423</v>
      </c>
      <c r="K130" s="30" t="s">
        <v>483</v>
      </c>
      <c r="L130" s="30">
        <v>0</v>
      </c>
      <c r="M130" s="139">
        <v>0.9</v>
      </c>
      <c r="N130" s="3">
        <v>143</v>
      </c>
    </row>
    <row r="131" spans="1:14" x14ac:dyDescent="0.3">
      <c r="A131" t="s">
        <v>279</v>
      </c>
      <c r="B131" t="s">
        <v>78</v>
      </c>
      <c r="C131" s="29">
        <v>0.17100000000000001</v>
      </c>
      <c r="D131" s="29">
        <v>8.3000000000000004E-2</v>
      </c>
      <c r="E131" s="137">
        <v>1</v>
      </c>
      <c r="F131" s="3" t="s">
        <v>438</v>
      </c>
      <c r="G131" s="3" t="s">
        <v>438</v>
      </c>
      <c r="H131" s="30" t="s">
        <v>422</v>
      </c>
      <c r="I131" s="30">
        <v>0</v>
      </c>
      <c r="J131" s="30" t="s">
        <v>423</v>
      </c>
      <c r="K131" s="30" t="s">
        <v>480</v>
      </c>
      <c r="L131" s="30">
        <v>0</v>
      </c>
      <c r="M131" s="139">
        <v>0.9</v>
      </c>
      <c r="N131" s="3">
        <v>182</v>
      </c>
    </row>
    <row r="132" spans="1:14" x14ac:dyDescent="0.3">
      <c r="A132" t="s">
        <v>280</v>
      </c>
      <c r="B132" t="s">
        <v>79</v>
      </c>
      <c r="C132" s="29">
        <v>0.17100000000000001</v>
      </c>
      <c r="D132" s="29">
        <v>8.3000000000000004E-2</v>
      </c>
      <c r="E132" s="137">
        <v>1</v>
      </c>
      <c r="F132" s="3" t="s">
        <v>438</v>
      </c>
      <c r="G132" s="3" t="s">
        <v>438</v>
      </c>
      <c r="H132" s="30" t="s">
        <v>422</v>
      </c>
      <c r="I132" s="30">
        <v>0</v>
      </c>
      <c r="J132" s="30" t="s">
        <v>423</v>
      </c>
      <c r="K132" s="30" t="s">
        <v>480</v>
      </c>
      <c r="L132" s="30">
        <v>0</v>
      </c>
      <c r="M132" s="139">
        <v>0.9</v>
      </c>
      <c r="N132" s="3">
        <v>182</v>
      </c>
    </row>
    <row r="133" spans="1:14" x14ac:dyDescent="0.3">
      <c r="A133" t="s">
        <v>280</v>
      </c>
      <c r="B133" t="s">
        <v>79</v>
      </c>
      <c r="C133" s="29">
        <v>0.17100000000000001</v>
      </c>
      <c r="D133" s="29">
        <v>8.3000000000000004E-2</v>
      </c>
      <c r="E133" s="137">
        <v>1</v>
      </c>
      <c r="F133" s="3" t="s">
        <v>438</v>
      </c>
      <c r="G133" s="3" t="s">
        <v>438</v>
      </c>
      <c r="H133" s="30" t="s">
        <v>422</v>
      </c>
      <c r="I133" s="30">
        <v>0</v>
      </c>
      <c r="J133" s="30" t="s">
        <v>423</v>
      </c>
      <c r="K133" s="30" t="s">
        <v>480</v>
      </c>
      <c r="L133" s="30">
        <v>0</v>
      </c>
      <c r="M133" s="139">
        <v>0.9</v>
      </c>
      <c r="N133" s="3">
        <v>182</v>
      </c>
    </row>
    <row r="134" spans="1:14" x14ac:dyDescent="0.3">
      <c r="A134" t="s">
        <v>281</v>
      </c>
      <c r="B134" t="s">
        <v>80</v>
      </c>
      <c r="C134" s="29">
        <v>0.107</v>
      </c>
      <c r="D134" s="29">
        <v>5.1999999999999998E-2</v>
      </c>
      <c r="E134" s="137">
        <v>1</v>
      </c>
      <c r="F134" s="3" t="s">
        <v>207</v>
      </c>
      <c r="G134" s="3" t="s">
        <v>207</v>
      </c>
      <c r="H134" s="30" t="s">
        <v>422</v>
      </c>
      <c r="I134" s="30">
        <v>0</v>
      </c>
      <c r="J134" s="30" t="s">
        <v>423</v>
      </c>
      <c r="K134" s="30" t="s">
        <v>479</v>
      </c>
      <c r="L134" s="30">
        <v>0</v>
      </c>
      <c r="M134" s="139">
        <v>0.9</v>
      </c>
      <c r="N134" s="3">
        <v>114</v>
      </c>
    </row>
    <row r="135" spans="1:14" x14ac:dyDescent="0.3">
      <c r="A135" t="s">
        <v>282</v>
      </c>
      <c r="B135" t="s">
        <v>81</v>
      </c>
      <c r="C135" s="29">
        <v>0.17100000000000001</v>
      </c>
      <c r="D135" s="29">
        <v>8.3000000000000004E-2</v>
      </c>
      <c r="E135" s="137">
        <v>1</v>
      </c>
      <c r="F135" s="3" t="s">
        <v>438</v>
      </c>
      <c r="G135" s="3" t="s">
        <v>438</v>
      </c>
      <c r="H135" s="30" t="s">
        <v>422</v>
      </c>
      <c r="I135" s="30">
        <v>0</v>
      </c>
      <c r="J135" s="30" t="s">
        <v>423</v>
      </c>
      <c r="K135" s="30" t="s">
        <v>480</v>
      </c>
      <c r="L135" s="30">
        <v>0</v>
      </c>
      <c r="M135" s="139">
        <v>0.9</v>
      </c>
      <c r="N135" s="3">
        <v>182</v>
      </c>
    </row>
    <row r="136" spans="1:14" x14ac:dyDescent="0.3">
      <c r="A136" t="s">
        <v>283</v>
      </c>
      <c r="B136" t="s">
        <v>82</v>
      </c>
      <c r="C136" s="29">
        <v>0.107</v>
      </c>
      <c r="D136" s="29">
        <v>5.1999999999999998E-2</v>
      </c>
      <c r="E136" s="137">
        <v>1</v>
      </c>
      <c r="F136" s="3" t="s">
        <v>207</v>
      </c>
      <c r="G136" s="3" t="s">
        <v>207</v>
      </c>
      <c r="H136" s="30" t="s">
        <v>422</v>
      </c>
      <c r="I136" s="30">
        <v>0</v>
      </c>
      <c r="J136" s="30" t="s">
        <v>423</v>
      </c>
      <c r="K136" s="30" t="s">
        <v>479</v>
      </c>
      <c r="L136" s="30">
        <v>0</v>
      </c>
      <c r="M136" s="139">
        <v>0.9</v>
      </c>
      <c r="N136" s="3">
        <v>114</v>
      </c>
    </row>
    <row r="137" spans="1:14" x14ac:dyDescent="0.3">
      <c r="A137" t="s">
        <v>283</v>
      </c>
      <c r="B137" t="s">
        <v>82</v>
      </c>
      <c r="C137" s="29">
        <v>0.107</v>
      </c>
      <c r="D137" s="29">
        <v>5.1999999999999998E-2</v>
      </c>
      <c r="E137" s="137">
        <v>1</v>
      </c>
      <c r="F137" s="3" t="s">
        <v>207</v>
      </c>
      <c r="G137" s="3" t="s">
        <v>207</v>
      </c>
      <c r="H137" s="30" t="s">
        <v>422</v>
      </c>
      <c r="I137" s="30">
        <v>0</v>
      </c>
      <c r="J137" s="30" t="s">
        <v>423</v>
      </c>
      <c r="K137" s="30" t="s">
        <v>479</v>
      </c>
      <c r="L137" s="30">
        <v>0</v>
      </c>
      <c r="M137" s="139">
        <v>0.9</v>
      </c>
      <c r="N137" s="3">
        <v>114</v>
      </c>
    </row>
    <row r="138" spans="1:14" x14ac:dyDescent="0.3">
      <c r="A138" t="s">
        <v>284</v>
      </c>
      <c r="B138" t="s">
        <v>83</v>
      </c>
      <c r="C138" s="29">
        <v>0.26900000000000002</v>
      </c>
      <c r="D138" s="29">
        <v>0.13</v>
      </c>
      <c r="E138" s="137">
        <v>1</v>
      </c>
      <c r="F138" s="3" t="s">
        <v>206</v>
      </c>
      <c r="G138" s="3" t="s">
        <v>206</v>
      </c>
      <c r="H138" s="30" t="s">
        <v>422</v>
      </c>
      <c r="I138" s="30">
        <v>0</v>
      </c>
      <c r="J138" s="30" t="s">
        <v>423</v>
      </c>
      <c r="K138" s="30" t="s">
        <v>481</v>
      </c>
      <c r="L138" s="30">
        <v>0</v>
      </c>
      <c r="M138" s="139">
        <v>0.9</v>
      </c>
      <c r="N138" s="3">
        <v>286</v>
      </c>
    </row>
    <row r="139" spans="1:14" x14ac:dyDescent="0.3">
      <c r="A139" t="s">
        <v>285</v>
      </c>
      <c r="B139" t="s">
        <v>84</v>
      </c>
      <c r="C139" s="29">
        <v>0.17100000000000001</v>
      </c>
      <c r="D139" s="29">
        <v>8.3000000000000004E-2</v>
      </c>
      <c r="E139" s="137">
        <v>1</v>
      </c>
      <c r="F139" s="3" t="s">
        <v>438</v>
      </c>
      <c r="G139" s="3" t="s">
        <v>438</v>
      </c>
      <c r="H139" s="30" t="s">
        <v>422</v>
      </c>
      <c r="I139" s="30">
        <v>0</v>
      </c>
      <c r="J139" s="30" t="s">
        <v>423</v>
      </c>
      <c r="K139" s="30" t="s">
        <v>480</v>
      </c>
      <c r="L139" s="30">
        <v>0</v>
      </c>
      <c r="M139" s="139">
        <v>0.9</v>
      </c>
      <c r="N139" s="3">
        <v>182</v>
      </c>
    </row>
    <row r="140" spans="1:14" x14ac:dyDescent="0.3">
      <c r="A140" t="s">
        <v>286</v>
      </c>
      <c r="B140" t="s">
        <v>85</v>
      </c>
      <c r="C140" s="29">
        <v>0.107</v>
      </c>
      <c r="D140" s="29">
        <v>5.1999999999999998E-2</v>
      </c>
      <c r="E140" s="137">
        <v>1</v>
      </c>
      <c r="F140" s="3" t="s">
        <v>207</v>
      </c>
      <c r="G140" s="3" t="s">
        <v>207</v>
      </c>
      <c r="H140" s="30" t="s">
        <v>422</v>
      </c>
      <c r="I140" s="30">
        <v>0</v>
      </c>
      <c r="J140" s="30" t="s">
        <v>423</v>
      </c>
      <c r="K140" s="30" t="s">
        <v>479</v>
      </c>
      <c r="L140" s="30">
        <v>0</v>
      </c>
      <c r="M140" s="139">
        <v>0.9</v>
      </c>
      <c r="N140" s="3">
        <v>114</v>
      </c>
    </row>
    <row r="141" spans="1:14" x14ac:dyDescent="0.3">
      <c r="A141" t="s">
        <v>287</v>
      </c>
      <c r="B141" t="s">
        <v>86</v>
      </c>
      <c r="C141" s="29">
        <v>0.107</v>
      </c>
      <c r="D141" s="29">
        <v>5.1999999999999998E-2</v>
      </c>
      <c r="E141" s="137">
        <v>1</v>
      </c>
      <c r="F141" s="3" t="s">
        <v>207</v>
      </c>
      <c r="G141" s="3" t="s">
        <v>207</v>
      </c>
      <c r="H141" s="30" t="s">
        <v>422</v>
      </c>
      <c r="I141" s="30">
        <v>0</v>
      </c>
      <c r="J141" s="30" t="s">
        <v>423</v>
      </c>
      <c r="K141" s="30" t="s">
        <v>479</v>
      </c>
      <c r="L141" s="30">
        <v>0</v>
      </c>
      <c r="M141" s="139">
        <v>0.9</v>
      </c>
      <c r="N141" s="3">
        <v>114</v>
      </c>
    </row>
    <row r="142" spans="1:14" x14ac:dyDescent="0.3">
      <c r="A142" t="s">
        <v>287</v>
      </c>
      <c r="B142" t="s">
        <v>86</v>
      </c>
      <c r="C142" s="29">
        <v>0.17100000000000001</v>
      </c>
      <c r="D142" s="29">
        <v>8.3000000000000004E-2</v>
      </c>
      <c r="E142" s="137">
        <v>1</v>
      </c>
      <c r="F142" s="3" t="s">
        <v>438</v>
      </c>
      <c r="G142" s="3" t="s">
        <v>438</v>
      </c>
      <c r="H142" s="30" t="s">
        <v>422</v>
      </c>
      <c r="I142" s="30">
        <v>0</v>
      </c>
      <c r="J142" s="30" t="s">
        <v>423</v>
      </c>
      <c r="K142" s="30" t="s">
        <v>480</v>
      </c>
      <c r="L142" s="30">
        <v>0</v>
      </c>
      <c r="M142" s="139">
        <v>0.9</v>
      </c>
      <c r="N142" s="3">
        <v>182</v>
      </c>
    </row>
    <row r="143" spans="1:14" x14ac:dyDescent="0.3">
      <c r="A143" t="s">
        <v>288</v>
      </c>
      <c r="B143" t="s">
        <v>88</v>
      </c>
      <c r="C143" s="29">
        <v>0.17</v>
      </c>
      <c r="D143" s="29">
        <v>8.3000000000000004E-2</v>
      </c>
      <c r="E143" s="137">
        <v>1</v>
      </c>
      <c r="F143" s="3" t="s">
        <v>209</v>
      </c>
      <c r="G143" s="3" t="s">
        <v>209</v>
      </c>
      <c r="H143" s="30" t="s">
        <v>422</v>
      </c>
      <c r="I143" s="30">
        <v>0</v>
      </c>
      <c r="J143" s="30" t="s">
        <v>423</v>
      </c>
      <c r="K143" s="30"/>
      <c r="L143" s="30"/>
      <c r="M143" s="139">
        <v>0.9</v>
      </c>
      <c r="N143" s="3">
        <v>1</v>
      </c>
    </row>
    <row r="144" spans="1:14" x14ac:dyDescent="0.3">
      <c r="A144" t="s">
        <v>289</v>
      </c>
      <c r="B144" t="s">
        <v>89</v>
      </c>
      <c r="C144" s="29">
        <v>0.26900000000000002</v>
      </c>
      <c r="D144" s="29">
        <v>0.13</v>
      </c>
      <c r="E144" s="137">
        <v>1</v>
      </c>
      <c r="F144" s="3" t="s">
        <v>206</v>
      </c>
      <c r="G144" s="3" t="s">
        <v>206</v>
      </c>
      <c r="H144" s="30" t="s">
        <v>422</v>
      </c>
      <c r="I144" s="30">
        <v>0</v>
      </c>
      <c r="J144" s="30" t="s">
        <v>423</v>
      </c>
      <c r="K144" s="30" t="s">
        <v>481</v>
      </c>
      <c r="L144" s="30">
        <v>0</v>
      </c>
      <c r="M144" s="139">
        <v>0.9</v>
      </c>
      <c r="N144" s="3">
        <v>286</v>
      </c>
    </row>
    <row r="145" spans="1:14" x14ac:dyDescent="0.3">
      <c r="A145" t="s">
        <v>290</v>
      </c>
      <c r="B145" t="s">
        <v>90</v>
      </c>
      <c r="C145" s="29">
        <v>0.26900000000000002</v>
      </c>
      <c r="D145" s="29">
        <v>0.13</v>
      </c>
      <c r="E145" s="137">
        <v>1</v>
      </c>
      <c r="F145" s="3" t="s">
        <v>206</v>
      </c>
      <c r="G145" s="3" t="s">
        <v>206</v>
      </c>
      <c r="H145" s="30" t="s">
        <v>422</v>
      </c>
      <c r="I145" s="30">
        <v>0</v>
      </c>
      <c r="J145" s="30" t="s">
        <v>423</v>
      </c>
      <c r="K145" s="30" t="s">
        <v>481</v>
      </c>
      <c r="L145" s="30">
        <v>0</v>
      </c>
      <c r="M145" s="139">
        <v>0.9</v>
      </c>
      <c r="N145" s="3">
        <v>286</v>
      </c>
    </row>
    <row r="146" spans="1:14" x14ac:dyDescent="0.3">
      <c r="A146" t="s">
        <v>290</v>
      </c>
      <c r="B146" t="s">
        <v>90</v>
      </c>
      <c r="C146" s="29">
        <v>0.26900000000000002</v>
      </c>
      <c r="D146" s="29">
        <v>0.13</v>
      </c>
      <c r="E146" s="137">
        <v>1</v>
      </c>
      <c r="F146" s="3" t="s">
        <v>206</v>
      </c>
      <c r="G146" s="3" t="s">
        <v>206</v>
      </c>
      <c r="H146" s="30" t="s">
        <v>422</v>
      </c>
      <c r="I146" s="30">
        <v>0</v>
      </c>
      <c r="J146" s="30" t="s">
        <v>423</v>
      </c>
      <c r="K146" s="30" t="s">
        <v>481</v>
      </c>
      <c r="L146" s="30">
        <v>0</v>
      </c>
      <c r="M146" s="139">
        <v>0.9</v>
      </c>
      <c r="N146" s="3">
        <v>286</v>
      </c>
    </row>
    <row r="147" spans="1:14" x14ac:dyDescent="0.3">
      <c r="A147" t="s">
        <v>291</v>
      </c>
      <c r="B147" t="s">
        <v>91</v>
      </c>
      <c r="C147" s="29">
        <v>0.17100000000000001</v>
      </c>
      <c r="D147" s="29">
        <v>8.3000000000000004E-2</v>
      </c>
      <c r="E147" s="137">
        <v>1</v>
      </c>
      <c r="F147" s="3" t="s">
        <v>438</v>
      </c>
      <c r="G147" s="3" t="s">
        <v>438</v>
      </c>
      <c r="H147" s="30" t="s">
        <v>422</v>
      </c>
      <c r="I147" s="30">
        <v>0</v>
      </c>
      <c r="J147" s="30" t="s">
        <v>423</v>
      </c>
      <c r="K147" s="30" t="s">
        <v>480</v>
      </c>
      <c r="L147" s="30">
        <v>0</v>
      </c>
      <c r="M147" s="139">
        <v>0.9</v>
      </c>
      <c r="N147" s="3">
        <v>182</v>
      </c>
    </row>
    <row r="148" spans="1:14" x14ac:dyDescent="0.3">
      <c r="A148" t="s">
        <v>292</v>
      </c>
      <c r="B148" t="s">
        <v>92</v>
      </c>
      <c r="C148" s="29">
        <v>0.17100000000000001</v>
      </c>
      <c r="D148" s="29">
        <v>8.3000000000000004E-2</v>
      </c>
      <c r="E148" s="137">
        <v>1</v>
      </c>
      <c r="F148" s="3" t="s">
        <v>438</v>
      </c>
      <c r="G148" s="3" t="s">
        <v>438</v>
      </c>
      <c r="H148" s="30" t="s">
        <v>422</v>
      </c>
      <c r="I148" s="30">
        <v>0</v>
      </c>
      <c r="J148" s="30" t="s">
        <v>423</v>
      </c>
      <c r="K148" s="30" t="s">
        <v>480</v>
      </c>
      <c r="L148" s="30">
        <v>0</v>
      </c>
      <c r="M148" s="139">
        <v>0.9</v>
      </c>
      <c r="N148" s="3">
        <v>182</v>
      </c>
    </row>
    <row r="149" spans="1:14" x14ac:dyDescent="0.3">
      <c r="A149" t="s">
        <v>293</v>
      </c>
      <c r="B149" t="s">
        <v>93</v>
      </c>
      <c r="C149" s="29">
        <v>0.26900000000000002</v>
      </c>
      <c r="D149" s="29">
        <v>0.13</v>
      </c>
      <c r="E149" s="137">
        <v>1</v>
      </c>
      <c r="F149" s="3" t="s">
        <v>206</v>
      </c>
      <c r="G149" s="3" t="s">
        <v>206</v>
      </c>
      <c r="H149" s="30" t="s">
        <v>422</v>
      </c>
      <c r="I149" s="30">
        <v>0</v>
      </c>
      <c r="J149" s="30" t="s">
        <v>423</v>
      </c>
      <c r="K149" s="30" t="s">
        <v>481</v>
      </c>
      <c r="L149" s="30">
        <v>0</v>
      </c>
      <c r="M149" s="139">
        <v>0.9</v>
      </c>
      <c r="N149" s="3">
        <v>286</v>
      </c>
    </row>
    <row r="150" spans="1:14" x14ac:dyDescent="0.3">
      <c r="A150" t="s">
        <v>294</v>
      </c>
      <c r="B150" t="s">
        <v>94</v>
      </c>
      <c r="C150" s="29">
        <v>0.17100000000000001</v>
      </c>
      <c r="D150" s="29">
        <v>8.3000000000000004E-2</v>
      </c>
      <c r="E150" s="137">
        <v>1</v>
      </c>
      <c r="F150" s="3" t="s">
        <v>438</v>
      </c>
      <c r="G150" s="3" t="s">
        <v>438</v>
      </c>
      <c r="H150" s="30" t="s">
        <v>422</v>
      </c>
      <c r="I150" s="30">
        <v>0</v>
      </c>
      <c r="J150" s="30" t="s">
        <v>423</v>
      </c>
      <c r="K150" s="30" t="s">
        <v>480</v>
      </c>
      <c r="L150" s="30">
        <v>0</v>
      </c>
      <c r="M150" s="139">
        <v>0.9</v>
      </c>
      <c r="N150" s="3">
        <v>182</v>
      </c>
    </row>
    <row r="151" spans="1:14" x14ac:dyDescent="0.3">
      <c r="A151" t="s">
        <v>295</v>
      </c>
      <c r="B151" t="s">
        <v>95</v>
      </c>
      <c r="C151" s="29">
        <v>0.17100000000000001</v>
      </c>
      <c r="D151" s="29">
        <v>8.3000000000000004E-2</v>
      </c>
      <c r="E151" s="137">
        <v>1</v>
      </c>
      <c r="F151" s="3" t="s">
        <v>438</v>
      </c>
      <c r="G151" s="3" t="s">
        <v>438</v>
      </c>
      <c r="H151" s="30" t="s">
        <v>422</v>
      </c>
      <c r="I151" s="30">
        <v>0</v>
      </c>
      <c r="J151" s="30" t="s">
        <v>423</v>
      </c>
      <c r="K151" s="30" t="s">
        <v>480</v>
      </c>
      <c r="L151" s="30">
        <v>0</v>
      </c>
      <c r="M151" s="139">
        <v>0.9</v>
      </c>
      <c r="N151" s="3">
        <v>182</v>
      </c>
    </row>
    <row r="152" spans="1:14" x14ac:dyDescent="0.3">
      <c r="A152" t="s">
        <v>296</v>
      </c>
      <c r="B152" t="s">
        <v>96</v>
      </c>
      <c r="C152" s="29">
        <v>0.17100000000000001</v>
      </c>
      <c r="D152" s="29">
        <v>8.3000000000000004E-2</v>
      </c>
      <c r="E152" s="137">
        <v>1</v>
      </c>
      <c r="F152" s="3" t="s">
        <v>438</v>
      </c>
      <c r="G152" s="3" t="s">
        <v>438</v>
      </c>
      <c r="H152" s="30" t="s">
        <v>422</v>
      </c>
      <c r="I152" s="30">
        <v>0</v>
      </c>
      <c r="J152" s="30" t="s">
        <v>423</v>
      </c>
      <c r="K152" s="30" t="s">
        <v>480</v>
      </c>
      <c r="L152" s="30">
        <v>0</v>
      </c>
      <c r="M152" s="139">
        <v>0.9</v>
      </c>
      <c r="N152" s="3">
        <v>182</v>
      </c>
    </row>
    <row r="153" spans="1:14" x14ac:dyDescent="0.3">
      <c r="A153" t="s">
        <v>297</v>
      </c>
      <c r="B153" t="s">
        <v>97</v>
      </c>
      <c r="C153" s="29">
        <v>0.13500000000000001</v>
      </c>
      <c r="D153" s="29">
        <v>6.5000000000000002E-2</v>
      </c>
      <c r="E153" s="137">
        <v>1</v>
      </c>
      <c r="F153" s="3" t="s">
        <v>438</v>
      </c>
      <c r="G153" s="3" t="s">
        <v>438</v>
      </c>
      <c r="H153" s="30" t="s">
        <v>422</v>
      </c>
      <c r="I153" s="30">
        <v>0</v>
      </c>
      <c r="J153" s="30" t="s">
        <v>423</v>
      </c>
      <c r="K153" s="30" t="s">
        <v>483</v>
      </c>
      <c r="L153" s="30">
        <v>0</v>
      </c>
      <c r="M153" s="139">
        <v>0.9</v>
      </c>
      <c r="N153" s="3">
        <v>143</v>
      </c>
    </row>
    <row r="154" spans="1:14" x14ac:dyDescent="0.3">
      <c r="A154" t="s">
        <v>297</v>
      </c>
      <c r="B154" t="s">
        <v>97</v>
      </c>
      <c r="C154" s="29">
        <v>0.13500000000000001</v>
      </c>
      <c r="D154" s="29">
        <v>6.5000000000000002E-2</v>
      </c>
      <c r="E154" s="137">
        <v>1</v>
      </c>
      <c r="F154" s="3" t="s">
        <v>438</v>
      </c>
      <c r="G154" s="3" t="s">
        <v>438</v>
      </c>
      <c r="H154" s="30" t="s">
        <v>422</v>
      </c>
      <c r="I154" s="30">
        <v>0</v>
      </c>
      <c r="J154" s="30" t="s">
        <v>423</v>
      </c>
      <c r="K154" s="30" t="s">
        <v>483</v>
      </c>
      <c r="L154" s="30">
        <v>0</v>
      </c>
      <c r="M154" s="139">
        <v>0.9</v>
      </c>
      <c r="N154" s="3">
        <v>143</v>
      </c>
    </row>
    <row r="155" spans="1:14" x14ac:dyDescent="0.3">
      <c r="A155" t="s">
        <v>298</v>
      </c>
      <c r="B155" t="s">
        <v>98</v>
      </c>
      <c r="C155" s="29">
        <v>0.26900000000000002</v>
      </c>
      <c r="D155" s="29">
        <v>0.13</v>
      </c>
      <c r="E155" s="137">
        <v>1</v>
      </c>
      <c r="F155" s="3" t="s">
        <v>206</v>
      </c>
      <c r="G155" s="3" t="s">
        <v>206</v>
      </c>
      <c r="H155" s="30" t="s">
        <v>422</v>
      </c>
      <c r="I155" s="30">
        <v>0</v>
      </c>
      <c r="J155" s="30" t="s">
        <v>423</v>
      </c>
      <c r="K155" s="30" t="s">
        <v>481</v>
      </c>
      <c r="L155" s="30">
        <v>0</v>
      </c>
      <c r="M155" s="139">
        <v>0.9</v>
      </c>
      <c r="N155" s="3">
        <v>286</v>
      </c>
    </row>
    <row r="156" spans="1:14" x14ac:dyDescent="0.3">
      <c r="C156" s="29"/>
      <c r="D156" s="29"/>
      <c r="E156" s="137"/>
      <c r="M156" s="140"/>
    </row>
    <row r="157" spans="1:14" x14ac:dyDescent="0.3">
      <c r="C157" s="29"/>
      <c r="D157" s="29"/>
      <c r="E157" s="137"/>
      <c r="M157" s="140"/>
    </row>
    <row r="158" spans="1:14" x14ac:dyDescent="0.3">
      <c r="C158" s="29"/>
      <c r="D158" s="29"/>
      <c r="E158" s="137"/>
      <c r="M158" s="140"/>
    </row>
    <row r="159" spans="1:14" x14ac:dyDescent="0.3">
      <c r="C159" s="29"/>
      <c r="D159" s="29"/>
      <c r="E159" s="137"/>
      <c r="M159" s="140"/>
    </row>
    <row r="160" spans="1:14" x14ac:dyDescent="0.3">
      <c r="C160" s="29"/>
      <c r="D160" s="29"/>
      <c r="E160" s="137"/>
      <c r="M160" s="140"/>
    </row>
    <row r="161" spans="3:13" x14ac:dyDescent="0.3">
      <c r="C161" s="29"/>
      <c r="D161" s="29"/>
      <c r="E161" s="137"/>
      <c r="M161" s="140"/>
    </row>
    <row r="162" spans="3:13" x14ac:dyDescent="0.3">
      <c r="C162" s="29"/>
      <c r="D162" s="29"/>
      <c r="E162" s="137"/>
      <c r="M162" s="140"/>
    </row>
    <row r="163" spans="3:13" x14ac:dyDescent="0.3">
      <c r="C163" s="29"/>
      <c r="D163" s="29"/>
      <c r="E163" s="137"/>
      <c r="M163" s="140"/>
    </row>
    <row r="164" spans="3:13" x14ac:dyDescent="0.3">
      <c r="C164" s="29"/>
      <c r="D164" s="29"/>
      <c r="E164" s="137"/>
      <c r="M164" s="140"/>
    </row>
    <row r="165" spans="3:13" x14ac:dyDescent="0.3">
      <c r="C165" s="29"/>
      <c r="D165" s="29"/>
      <c r="E165" s="137"/>
      <c r="M165" s="140"/>
    </row>
    <row r="166" spans="3:13" x14ac:dyDescent="0.3">
      <c r="C166" s="29"/>
      <c r="D166" s="29"/>
      <c r="E166" s="137"/>
      <c r="M166" s="140"/>
    </row>
    <row r="167" spans="3:13" x14ac:dyDescent="0.3">
      <c r="C167" s="29"/>
      <c r="D167" s="29"/>
      <c r="E167" s="137"/>
      <c r="M167" s="140"/>
    </row>
    <row r="168" spans="3:13" x14ac:dyDescent="0.3">
      <c r="C168" s="29"/>
      <c r="D168" s="29"/>
      <c r="E168" s="137"/>
      <c r="M168" s="140"/>
    </row>
    <row r="169" spans="3:13" x14ac:dyDescent="0.3">
      <c r="C169" s="29"/>
      <c r="D169" s="29"/>
      <c r="E169" s="137"/>
      <c r="M169" s="140"/>
    </row>
    <row r="170" spans="3:13" x14ac:dyDescent="0.3">
      <c r="C170" s="29"/>
      <c r="D170" s="29"/>
      <c r="E170" s="137"/>
      <c r="M170" s="140"/>
    </row>
    <row r="171" spans="3:13" x14ac:dyDescent="0.3">
      <c r="C171" s="29"/>
      <c r="D171" s="29"/>
      <c r="E171" s="137"/>
      <c r="M171" s="140"/>
    </row>
    <row r="172" spans="3:13" x14ac:dyDescent="0.3">
      <c r="C172" s="29"/>
      <c r="D172" s="29"/>
      <c r="E172" s="137"/>
      <c r="M172" s="140"/>
    </row>
    <row r="173" spans="3:13" x14ac:dyDescent="0.3">
      <c r="C173" s="29"/>
      <c r="D173" s="29"/>
      <c r="E173" s="137"/>
      <c r="M173" s="140"/>
    </row>
    <row r="174" spans="3:13" x14ac:dyDescent="0.3">
      <c r="C174" s="29"/>
      <c r="D174" s="29"/>
      <c r="E174" s="137"/>
      <c r="M174" s="140"/>
    </row>
    <row r="175" spans="3:13" x14ac:dyDescent="0.3">
      <c r="C175" s="29"/>
      <c r="D175" s="29"/>
      <c r="E175" s="137"/>
      <c r="M175" s="140"/>
    </row>
    <row r="176" spans="3:13" x14ac:dyDescent="0.3">
      <c r="C176" s="29"/>
      <c r="D176" s="29"/>
      <c r="E176" s="137"/>
      <c r="M176" s="140"/>
    </row>
    <row r="177" spans="3:13" x14ac:dyDescent="0.3">
      <c r="C177" s="29"/>
      <c r="D177" s="29"/>
      <c r="E177" s="137"/>
      <c r="M177" s="140"/>
    </row>
    <row r="178" spans="3:13" x14ac:dyDescent="0.3">
      <c r="C178" s="29"/>
      <c r="D178" s="29"/>
      <c r="E178" s="137"/>
      <c r="M178" s="140"/>
    </row>
    <row r="179" spans="3:13" x14ac:dyDescent="0.3">
      <c r="C179" s="29"/>
      <c r="D179" s="29"/>
      <c r="E179" s="137"/>
      <c r="M179" s="140"/>
    </row>
    <row r="180" spans="3:13" x14ac:dyDescent="0.3">
      <c r="C180" s="29"/>
      <c r="D180" s="29"/>
      <c r="E180" s="137"/>
      <c r="M180" s="140"/>
    </row>
    <row r="181" spans="3:13" x14ac:dyDescent="0.3">
      <c r="C181" s="29"/>
      <c r="D181" s="29"/>
      <c r="E181" s="137"/>
      <c r="M181" s="140"/>
    </row>
    <row r="182" spans="3:13" x14ac:dyDescent="0.3">
      <c r="C182" s="29"/>
      <c r="D182" s="29"/>
      <c r="E182" s="137"/>
      <c r="M182" s="140"/>
    </row>
    <row r="183" spans="3:13" x14ac:dyDescent="0.3">
      <c r="C183" s="29"/>
      <c r="D183" s="29"/>
      <c r="M183" s="140"/>
    </row>
    <row r="184" spans="3:13" x14ac:dyDescent="0.3">
      <c r="C184" s="29"/>
      <c r="D184" s="29"/>
      <c r="M184" s="140"/>
    </row>
    <row r="185" spans="3:13" x14ac:dyDescent="0.3">
      <c r="C185" s="29"/>
      <c r="D185" s="29"/>
      <c r="M185" s="140"/>
    </row>
    <row r="186" spans="3:13" x14ac:dyDescent="0.3">
      <c r="C186" s="29"/>
      <c r="D186" s="29"/>
      <c r="M186" s="140"/>
    </row>
    <row r="187" spans="3:13" x14ac:dyDescent="0.3">
      <c r="C187" s="29"/>
      <c r="D187" s="29"/>
      <c r="M187" s="140"/>
    </row>
    <row r="188" spans="3:13" x14ac:dyDescent="0.3">
      <c r="C188" s="29"/>
      <c r="D188" s="29"/>
      <c r="M188" s="140"/>
    </row>
    <row r="189" spans="3:13" x14ac:dyDescent="0.3">
      <c r="C189" s="29"/>
      <c r="D189" s="29"/>
    </row>
    <row r="190" spans="3:13" x14ac:dyDescent="0.3">
      <c r="C190" s="29"/>
      <c r="D190" s="29"/>
    </row>
    <row r="191" spans="3:13" x14ac:dyDescent="0.3">
      <c r="C191" s="29"/>
      <c r="D191" s="29"/>
    </row>
    <row r="192" spans="3:13" x14ac:dyDescent="0.3">
      <c r="C192" s="29"/>
      <c r="D192" s="29"/>
      <c r="E192" s="29"/>
    </row>
    <row r="193" spans="3:4" x14ac:dyDescent="0.3">
      <c r="C193" s="29"/>
      <c r="D193" s="29"/>
    </row>
    <row r="194" spans="3:4" x14ac:dyDescent="0.3">
      <c r="C194" s="29"/>
      <c r="D194" s="29"/>
    </row>
    <row r="195" spans="3:4" x14ac:dyDescent="0.3">
      <c r="C195" s="29"/>
      <c r="D195" s="29"/>
    </row>
    <row r="196" spans="3:4" x14ac:dyDescent="0.3">
      <c r="C196" s="29"/>
      <c r="D196" s="29"/>
    </row>
    <row r="197" spans="3:4" x14ac:dyDescent="0.3">
      <c r="C197" s="29"/>
      <c r="D197" s="29"/>
    </row>
    <row r="198" spans="3:4" x14ac:dyDescent="0.3">
      <c r="C198" s="29"/>
      <c r="D198" s="29"/>
    </row>
    <row r="199" spans="3:4" x14ac:dyDescent="0.3">
      <c r="C199" s="29"/>
      <c r="D199" s="29"/>
    </row>
    <row r="200" spans="3:4" x14ac:dyDescent="0.3">
      <c r="C200" s="29"/>
      <c r="D200" s="29"/>
    </row>
    <row r="201" spans="3:4" x14ac:dyDescent="0.3">
      <c r="C201" s="29"/>
      <c r="D201" s="29"/>
    </row>
    <row r="202" spans="3:4" x14ac:dyDescent="0.3">
      <c r="C202" s="29"/>
      <c r="D202" s="29"/>
    </row>
    <row r="203" spans="3:4" x14ac:dyDescent="0.3">
      <c r="C203" s="29"/>
      <c r="D203" s="29"/>
    </row>
    <row r="204" spans="3:4" x14ac:dyDescent="0.3">
      <c r="C204" s="29"/>
      <c r="D204" s="29"/>
    </row>
    <row r="205" spans="3:4" x14ac:dyDescent="0.3">
      <c r="C205" s="29"/>
      <c r="D205" s="29"/>
    </row>
    <row r="206" spans="3:4" x14ac:dyDescent="0.3">
      <c r="C206" s="29"/>
      <c r="D206" s="29"/>
    </row>
    <row r="207" spans="3:4" x14ac:dyDescent="0.3">
      <c r="C207" s="29"/>
      <c r="D207" s="29"/>
    </row>
    <row r="208" spans="3:4" x14ac:dyDescent="0.3">
      <c r="C208" s="29"/>
      <c r="D208" s="29"/>
    </row>
    <row r="209" spans="3:4" x14ac:dyDescent="0.3">
      <c r="C209" s="29"/>
      <c r="D209" s="29"/>
    </row>
    <row r="210" spans="3:4" x14ac:dyDescent="0.3">
      <c r="C210" s="29"/>
      <c r="D210" s="29"/>
    </row>
    <row r="211" spans="3:4" x14ac:dyDescent="0.3">
      <c r="C211" s="29"/>
      <c r="D211" s="29"/>
    </row>
    <row r="212" spans="3:4" x14ac:dyDescent="0.3">
      <c r="C212" s="29"/>
      <c r="D212" s="29"/>
    </row>
    <row r="213" spans="3:4" x14ac:dyDescent="0.3">
      <c r="C213" s="29"/>
      <c r="D213" s="29"/>
    </row>
    <row r="214" spans="3:4" x14ac:dyDescent="0.3">
      <c r="C214" s="29"/>
      <c r="D214" s="29"/>
    </row>
    <row r="215" spans="3:4" x14ac:dyDescent="0.3">
      <c r="C215" s="29"/>
      <c r="D215" s="29"/>
    </row>
    <row r="216" spans="3:4" x14ac:dyDescent="0.3">
      <c r="C216" s="29"/>
      <c r="D216" s="29"/>
    </row>
    <row r="217" spans="3:4" x14ac:dyDescent="0.3">
      <c r="C217" s="29"/>
      <c r="D217" s="29"/>
    </row>
    <row r="218" spans="3:4" x14ac:dyDescent="0.3">
      <c r="C218" s="29"/>
      <c r="D218" s="29"/>
    </row>
    <row r="219" spans="3:4" x14ac:dyDescent="0.3">
      <c r="C219" s="29"/>
      <c r="D219" s="29"/>
    </row>
    <row r="220" spans="3:4" x14ac:dyDescent="0.3">
      <c r="C220" s="29"/>
      <c r="D220" s="29"/>
    </row>
    <row r="221" spans="3:4" x14ac:dyDescent="0.3">
      <c r="C221" s="29"/>
      <c r="D221" s="29"/>
    </row>
    <row r="222" spans="3:4" x14ac:dyDescent="0.3">
      <c r="C222" s="29"/>
      <c r="D222" s="29"/>
    </row>
    <row r="223" spans="3:4" x14ac:dyDescent="0.3">
      <c r="C223" s="29"/>
      <c r="D223" s="29"/>
    </row>
    <row r="224" spans="3:4" x14ac:dyDescent="0.3">
      <c r="C224" s="29"/>
      <c r="D224" s="29"/>
    </row>
    <row r="225" spans="3:4" x14ac:dyDescent="0.3">
      <c r="C225" s="29"/>
      <c r="D225" s="29"/>
    </row>
    <row r="226" spans="3:4" x14ac:dyDescent="0.3">
      <c r="C226" s="29"/>
      <c r="D226" s="29"/>
    </row>
    <row r="227" spans="3:4" x14ac:dyDescent="0.3">
      <c r="C227" s="29"/>
      <c r="D227" s="29"/>
    </row>
    <row r="228" spans="3:4" x14ac:dyDescent="0.3">
      <c r="C228" s="29"/>
      <c r="D228" s="29"/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9B091-F854-4556-9C5C-F6CD1CEE8968}">
  <dimension ref="A1:N1"/>
  <sheetViews>
    <sheetView workbookViewId="0">
      <selection activeCell="G25" sqref="G25"/>
    </sheetView>
  </sheetViews>
  <sheetFormatPr defaultColWidth="16.44140625" defaultRowHeight="14.4" x14ac:dyDescent="0.3"/>
  <sheetData>
    <row r="1" spans="1:14" s="33" customFormat="1" ht="30" customHeight="1" x14ac:dyDescent="0.3">
      <c r="A1" s="25" t="s">
        <v>330</v>
      </c>
      <c r="B1" s="25" t="s">
        <v>325</v>
      </c>
      <c r="C1" s="25" t="s">
        <v>424</v>
      </c>
      <c r="D1" s="25" t="s">
        <v>425</v>
      </c>
      <c r="E1" s="25" t="s">
        <v>426</v>
      </c>
      <c r="F1" s="25" t="s">
        <v>427</v>
      </c>
      <c r="G1" s="25" t="s">
        <v>428</v>
      </c>
      <c r="H1" s="25" t="s">
        <v>395</v>
      </c>
      <c r="I1" s="25" t="s">
        <v>397</v>
      </c>
      <c r="J1" s="25" t="s">
        <v>400</v>
      </c>
      <c r="K1" s="25" t="s">
        <v>402</v>
      </c>
      <c r="L1" s="25" t="s">
        <v>404</v>
      </c>
      <c r="M1" s="25" t="s">
        <v>331</v>
      </c>
      <c r="N1" s="25" t="s">
        <v>389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96AF1-9F6D-4801-B0AE-9D718F444318}">
  <dimension ref="A1:N71"/>
  <sheetViews>
    <sheetView topLeftCell="L57" workbookViewId="0">
      <selection activeCell="L9" sqref="L9"/>
    </sheetView>
  </sheetViews>
  <sheetFormatPr defaultColWidth="17.77734375" defaultRowHeight="14.4" x14ac:dyDescent="0.3"/>
  <cols>
    <col min="1" max="1" width="7" bestFit="1" customWidth="1"/>
    <col min="2" max="2" width="6.109375" bestFit="1" customWidth="1"/>
    <col min="3" max="3" width="12.109375" bestFit="1" customWidth="1"/>
    <col min="4" max="4" width="13.44140625" bestFit="1" customWidth="1"/>
    <col min="5" max="5" width="13.6640625" bestFit="1" customWidth="1"/>
    <col min="6" max="6" width="4.44140625" bestFit="1" customWidth="1"/>
    <col min="12" max="12" width="22.44140625" bestFit="1" customWidth="1"/>
  </cols>
  <sheetData>
    <row r="1" spans="1:14" s="33" customFormat="1" x14ac:dyDescent="0.3">
      <c r="A1" s="25" t="s">
        <v>330</v>
      </c>
      <c r="B1" s="25" t="s">
        <v>325</v>
      </c>
      <c r="C1" s="25" t="s">
        <v>424</v>
      </c>
      <c r="D1" s="25" t="s">
        <v>425</v>
      </c>
      <c r="E1" s="25" t="s">
        <v>426</v>
      </c>
      <c r="F1" s="25" t="s">
        <v>389</v>
      </c>
      <c r="G1" s="25" t="s">
        <v>395</v>
      </c>
      <c r="H1" s="25" t="s">
        <v>397</v>
      </c>
      <c r="I1" s="25" t="s">
        <v>400</v>
      </c>
      <c r="J1" s="25" t="s">
        <v>402</v>
      </c>
      <c r="K1" s="25" t="s">
        <v>404</v>
      </c>
      <c r="L1" s="25" t="s">
        <v>428</v>
      </c>
      <c r="M1" s="25" t="s">
        <v>429</v>
      </c>
      <c r="N1" s="25" t="s">
        <v>430</v>
      </c>
    </row>
    <row r="2" spans="1:14" x14ac:dyDescent="0.3">
      <c r="A2" t="s">
        <v>530</v>
      </c>
      <c r="B2" t="s">
        <v>11</v>
      </c>
      <c r="C2" s="140">
        <v>2</v>
      </c>
      <c r="D2">
        <v>0</v>
      </c>
      <c r="F2">
        <v>0</v>
      </c>
      <c r="G2" s="30" t="s">
        <v>524</v>
      </c>
      <c r="H2" s="30" t="s">
        <v>525</v>
      </c>
      <c r="I2" s="30" t="s">
        <v>526</v>
      </c>
      <c r="J2" s="30" t="s">
        <v>423</v>
      </c>
      <c r="K2" s="30" t="s">
        <v>527</v>
      </c>
      <c r="L2" t="s">
        <v>558</v>
      </c>
      <c r="M2">
        <v>0</v>
      </c>
      <c r="N2" t="s">
        <v>573</v>
      </c>
    </row>
    <row r="3" spans="1:14" x14ac:dyDescent="0.3">
      <c r="A3" t="s">
        <v>542</v>
      </c>
      <c r="B3" t="s">
        <v>80</v>
      </c>
      <c r="C3" s="140">
        <v>2</v>
      </c>
      <c r="D3">
        <v>0</v>
      </c>
      <c r="F3">
        <v>0</v>
      </c>
      <c r="G3" s="30" t="s">
        <v>524</v>
      </c>
      <c r="H3" s="30" t="s">
        <v>525</v>
      </c>
      <c r="I3" s="30" t="s">
        <v>526</v>
      </c>
      <c r="J3" s="30" t="s">
        <v>423</v>
      </c>
      <c r="K3" s="30" t="s">
        <v>527</v>
      </c>
      <c r="L3" t="s">
        <v>558</v>
      </c>
      <c r="M3">
        <v>0</v>
      </c>
      <c r="N3" t="s">
        <v>573</v>
      </c>
    </row>
    <row r="4" spans="1:14" x14ac:dyDescent="0.3">
      <c r="A4" t="s">
        <v>542</v>
      </c>
      <c r="B4" t="s">
        <v>80</v>
      </c>
      <c r="C4" s="140">
        <v>2</v>
      </c>
      <c r="D4">
        <v>0</v>
      </c>
      <c r="F4">
        <v>0</v>
      </c>
      <c r="G4" s="30" t="s">
        <v>524</v>
      </c>
      <c r="H4" s="30" t="s">
        <v>525</v>
      </c>
      <c r="I4" s="30" t="s">
        <v>526</v>
      </c>
      <c r="J4" s="30" t="s">
        <v>423</v>
      </c>
      <c r="K4" s="30" t="s">
        <v>527</v>
      </c>
      <c r="L4" t="s">
        <v>558</v>
      </c>
      <c r="M4">
        <v>0</v>
      </c>
      <c r="N4" t="s">
        <v>573</v>
      </c>
    </row>
    <row r="5" spans="1:14" x14ac:dyDescent="0.3">
      <c r="A5" t="s">
        <v>521</v>
      </c>
      <c r="B5" t="s">
        <v>71</v>
      </c>
      <c r="C5" s="140">
        <v>2</v>
      </c>
      <c r="D5">
        <v>0</v>
      </c>
      <c r="F5">
        <v>0</v>
      </c>
      <c r="G5" s="30" t="s">
        <v>524</v>
      </c>
      <c r="H5" s="30" t="s">
        <v>525</v>
      </c>
      <c r="I5" s="30" t="s">
        <v>526</v>
      </c>
      <c r="J5" s="30" t="s">
        <v>423</v>
      </c>
      <c r="K5" s="30" t="s">
        <v>527</v>
      </c>
      <c r="L5" t="s">
        <v>558</v>
      </c>
      <c r="M5">
        <v>0</v>
      </c>
      <c r="N5" t="s">
        <v>573</v>
      </c>
    </row>
    <row r="6" spans="1:14" x14ac:dyDescent="0.3">
      <c r="A6" t="s">
        <v>529</v>
      </c>
      <c r="B6" t="s">
        <v>16</v>
      </c>
      <c r="C6" s="140">
        <v>2</v>
      </c>
      <c r="D6">
        <v>0</v>
      </c>
      <c r="F6">
        <v>0</v>
      </c>
      <c r="G6" s="30" t="s">
        <v>524</v>
      </c>
      <c r="H6" s="30" t="s">
        <v>525</v>
      </c>
      <c r="I6" s="30" t="s">
        <v>526</v>
      </c>
      <c r="J6" s="30" t="s">
        <v>423</v>
      </c>
      <c r="K6" s="30" t="s">
        <v>527</v>
      </c>
      <c r="L6" t="s">
        <v>558</v>
      </c>
      <c r="M6">
        <v>0</v>
      </c>
      <c r="N6" t="s">
        <v>573</v>
      </c>
    </row>
    <row r="7" spans="1:14" x14ac:dyDescent="0.3">
      <c r="A7" t="s">
        <v>543</v>
      </c>
      <c r="B7" t="s">
        <v>66</v>
      </c>
      <c r="C7" s="140">
        <v>2</v>
      </c>
      <c r="D7">
        <v>0</v>
      </c>
      <c r="F7">
        <v>1</v>
      </c>
      <c r="G7" s="30" t="s">
        <v>524</v>
      </c>
      <c r="H7" s="30" t="s">
        <v>525</v>
      </c>
      <c r="I7" s="30" t="s">
        <v>526</v>
      </c>
      <c r="J7" s="30" t="s">
        <v>423</v>
      </c>
      <c r="K7" s="30" t="s">
        <v>527</v>
      </c>
      <c r="L7" t="s">
        <v>558</v>
      </c>
      <c r="M7">
        <v>0</v>
      </c>
      <c r="N7" t="s">
        <v>573</v>
      </c>
    </row>
    <row r="8" spans="1:14" x14ac:dyDescent="0.3">
      <c r="A8" t="s">
        <v>544</v>
      </c>
      <c r="B8" t="s">
        <v>51</v>
      </c>
      <c r="C8" s="140">
        <v>2</v>
      </c>
      <c r="D8">
        <v>0</v>
      </c>
      <c r="F8">
        <v>1</v>
      </c>
      <c r="G8" s="30" t="s">
        <v>524</v>
      </c>
      <c r="H8" s="30" t="s">
        <v>525</v>
      </c>
      <c r="I8" s="30" t="s">
        <v>526</v>
      </c>
      <c r="J8" s="30" t="s">
        <v>423</v>
      </c>
      <c r="K8" s="30" t="s">
        <v>527</v>
      </c>
      <c r="L8" t="s">
        <v>558</v>
      </c>
      <c r="M8">
        <v>0</v>
      </c>
      <c r="N8" t="s">
        <v>573</v>
      </c>
    </row>
    <row r="9" spans="1:14" x14ac:dyDescent="0.3">
      <c r="A9" t="s">
        <v>522</v>
      </c>
      <c r="B9" t="s">
        <v>95</v>
      </c>
      <c r="C9" s="140">
        <v>0.4</v>
      </c>
      <c r="D9">
        <v>0</v>
      </c>
      <c r="F9">
        <v>1</v>
      </c>
      <c r="G9" s="30" t="s">
        <v>524</v>
      </c>
      <c r="H9" s="30" t="s">
        <v>525</v>
      </c>
      <c r="I9" s="30" t="s">
        <v>526</v>
      </c>
      <c r="J9" s="30" t="s">
        <v>423</v>
      </c>
      <c r="K9" s="30" t="s">
        <v>527</v>
      </c>
      <c r="L9" t="s">
        <v>559</v>
      </c>
      <c r="M9">
        <v>0</v>
      </c>
      <c r="N9" t="s">
        <v>535</v>
      </c>
    </row>
    <row r="10" spans="1:14" x14ac:dyDescent="0.3">
      <c r="A10" t="s">
        <v>531</v>
      </c>
      <c r="B10" t="s">
        <v>64</v>
      </c>
      <c r="C10" s="140">
        <v>2</v>
      </c>
      <c r="D10">
        <v>0</v>
      </c>
      <c r="F10">
        <v>2</v>
      </c>
      <c r="G10" s="30" t="s">
        <v>524</v>
      </c>
      <c r="H10" s="30" t="s">
        <v>525</v>
      </c>
      <c r="I10" s="30" t="s">
        <v>526</v>
      </c>
      <c r="J10" s="30" t="s">
        <v>423</v>
      </c>
      <c r="K10" s="30" t="s">
        <v>527</v>
      </c>
      <c r="L10" t="s">
        <v>558</v>
      </c>
      <c r="M10">
        <v>0</v>
      </c>
      <c r="N10" t="s">
        <v>573</v>
      </c>
    </row>
    <row r="11" spans="1:14" x14ac:dyDescent="0.3">
      <c r="A11" t="s">
        <v>545</v>
      </c>
      <c r="B11" t="s">
        <v>78</v>
      </c>
      <c r="C11" s="140">
        <v>2</v>
      </c>
      <c r="D11">
        <v>0</v>
      </c>
      <c r="F11">
        <v>2</v>
      </c>
      <c r="G11" s="30" t="s">
        <v>524</v>
      </c>
      <c r="H11" s="30" t="s">
        <v>525</v>
      </c>
      <c r="I11" s="30" t="s">
        <v>526</v>
      </c>
      <c r="J11" s="30" t="s">
        <v>423</v>
      </c>
      <c r="K11" s="30" t="s">
        <v>527</v>
      </c>
      <c r="L11" t="s">
        <v>558</v>
      </c>
      <c r="M11">
        <v>0</v>
      </c>
      <c r="N11" t="s">
        <v>573</v>
      </c>
    </row>
    <row r="12" spans="1:14" x14ac:dyDescent="0.3">
      <c r="A12" t="s">
        <v>546</v>
      </c>
      <c r="B12" t="s">
        <v>45</v>
      </c>
      <c r="C12" s="140">
        <v>0.4</v>
      </c>
      <c r="D12">
        <v>0</v>
      </c>
      <c r="F12">
        <v>2</v>
      </c>
      <c r="G12" s="30" t="s">
        <v>524</v>
      </c>
      <c r="H12" s="30" t="s">
        <v>525</v>
      </c>
      <c r="I12" s="30" t="s">
        <v>526</v>
      </c>
      <c r="J12" s="30" t="s">
        <v>423</v>
      </c>
      <c r="K12" s="30" t="s">
        <v>527</v>
      </c>
      <c r="L12" t="s">
        <v>559</v>
      </c>
      <c r="M12">
        <v>0</v>
      </c>
      <c r="N12" t="s">
        <v>535</v>
      </c>
    </row>
    <row r="13" spans="1:14" x14ac:dyDescent="0.3">
      <c r="A13" t="s">
        <v>547</v>
      </c>
      <c r="B13" t="s">
        <v>43</v>
      </c>
      <c r="C13" s="140">
        <v>2</v>
      </c>
      <c r="D13">
        <v>0</v>
      </c>
      <c r="F13">
        <v>3</v>
      </c>
      <c r="G13" s="30" t="s">
        <v>524</v>
      </c>
      <c r="H13" s="30" t="s">
        <v>525</v>
      </c>
      <c r="I13" s="30" t="s">
        <v>526</v>
      </c>
      <c r="J13" s="30" t="s">
        <v>423</v>
      </c>
      <c r="K13" s="30" t="s">
        <v>527</v>
      </c>
      <c r="L13" t="s">
        <v>558</v>
      </c>
      <c r="M13">
        <v>0</v>
      </c>
      <c r="N13" t="s">
        <v>573</v>
      </c>
    </row>
    <row r="14" spans="1:14" x14ac:dyDescent="0.3">
      <c r="A14" t="s">
        <v>548</v>
      </c>
      <c r="B14" t="s">
        <v>81</v>
      </c>
      <c r="C14" s="140">
        <v>2</v>
      </c>
      <c r="D14">
        <v>0</v>
      </c>
      <c r="F14">
        <v>3</v>
      </c>
      <c r="G14" s="30" t="s">
        <v>524</v>
      </c>
      <c r="H14" s="30" t="s">
        <v>525</v>
      </c>
      <c r="I14" s="30" t="s">
        <v>526</v>
      </c>
      <c r="J14" s="30" t="s">
        <v>423</v>
      </c>
      <c r="K14" s="30" t="s">
        <v>527</v>
      </c>
      <c r="L14" t="s">
        <v>558</v>
      </c>
      <c r="M14">
        <v>0</v>
      </c>
      <c r="N14" t="s">
        <v>573</v>
      </c>
    </row>
    <row r="15" spans="1:14" x14ac:dyDescent="0.3">
      <c r="A15" t="s">
        <v>549</v>
      </c>
      <c r="B15" t="s">
        <v>10</v>
      </c>
      <c r="C15" s="140">
        <v>0.4</v>
      </c>
      <c r="D15">
        <v>0</v>
      </c>
      <c r="F15">
        <v>3</v>
      </c>
      <c r="G15" s="30" t="s">
        <v>524</v>
      </c>
      <c r="H15" s="30" t="s">
        <v>525</v>
      </c>
      <c r="I15" s="30" t="s">
        <v>526</v>
      </c>
      <c r="J15" s="30" t="s">
        <v>423</v>
      </c>
      <c r="K15" s="30" t="s">
        <v>527</v>
      </c>
      <c r="L15" t="s">
        <v>559</v>
      </c>
      <c r="M15">
        <v>0</v>
      </c>
      <c r="N15" t="s">
        <v>535</v>
      </c>
    </row>
    <row r="16" spans="1:14" x14ac:dyDescent="0.3">
      <c r="A16" t="s">
        <v>550</v>
      </c>
      <c r="B16" t="s">
        <v>14</v>
      </c>
      <c r="C16" s="140">
        <v>2</v>
      </c>
      <c r="D16">
        <v>0</v>
      </c>
      <c r="F16">
        <v>4</v>
      </c>
      <c r="G16" s="30" t="s">
        <v>524</v>
      </c>
      <c r="H16" s="30" t="s">
        <v>525</v>
      </c>
      <c r="I16" s="30" t="s">
        <v>526</v>
      </c>
      <c r="J16" s="30" t="s">
        <v>423</v>
      </c>
      <c r="K16" s="30" t="s">
        <v>527</v>
      </c>
      <c r="L16" t="s">
        <v>558</v>
      </c>
      <c r="M16">
        <v>0</v>
      </c>
      <c r="N16" t="s">
        <v>573</v>
      </c>
    </row>
    <row r="17" spans="1:14" x14ac:dyDescent="0.3">
      <c r="A17" t="s">
        <v>540</v>
      </c>
      <c r="B17" t="s">
        <v>18</v>
      </c>
      <c r="C17" s="140">
        <v>2</v>
      </c>
      <c r="D17">
        <v>0</v>
      </c>
      <c r="F17">
        <v>4</v>
      </c>
      <c r="G17" s="30" t="s">
        <v>524</v>
      </c>
      <c r="H17" s="30" t="s">
        <v>525</v>
      </c>
      <c r="I17" s="30" t="s">
        <v>526</v>
      </c>
      <c r="J17" s="30" t="s">
        <v>423</v>
      </c>
      <c r="K17" s="30" t="s">
        <v>527</v>
      </c>
      <c r="L17" t="s">
        <v>558</v>
      </c>
      <c r="M17">
        <v>0</v>
      </c>
      <c r="N17" t="s">
        <v>573</v>
      </c>
    </row>
    <row r="18" spans="1:14" x14ac:dyDescent="0.3">
      <c r="A18" t="s">
        <v>534</v>
      </c>
      <c r="B18" t="s">
        <v>39</v>
      </c>
      <c r="C18" s="140">
        <v>0.4</v>
      </c>
      <c r="D18">
        <v>0</v>
      </c>
      <c r="F18">
        <v>4</v>
      </c>
      <c r="G18" s="30" t="s">
        <v>524</v>
      </c>
      <c r="H18" s="30" t="s">
        <v>525</v>
      </c>
      <c r="I18" s="30" t="s">
        <v>526</v>
      </c>
      <c r="J18" s="30" t="s">
        <v>423</v>
      </c>
      <c r="K18" s="30" t="s">
        <v>527</v>
      </c>
      <c r="L18" t="s">
        <v>559</v>
      </c>
      <c r="M18">
        <v>0</v>
      </c>
      <c r="N18" t="s">
        <v>535</v>
      </c>
    </row>
    <row r="19" spans="1:14" x14ac:dyDescent="0.3">
      <c r="A19" t="s">
        <v>548</v>
      </c>
      <c r="B19" t="s">
        <v>81</v>
      </c>
      <c r="C19" s="140">
        <v>2</v>
      </c>
      <c r="D19">
        <v>0</v>
      </c>
      <c r="F19">
        <v>5</v>
      </c>
      <c r="G19" s="30" t="s">
        <v>524</v>
      </c>
      <c r="H19" s="30" t="s">
        <v>525</v>
      </c>
      <c r="I19" s="30" t="s">
        <v>526</v>
      </c>
      <c r="J19" s="30" t="s">
        <v>423</v>
      </c>
      <c r="K19" s="30" t="s">
        <v>527</v>
      </c>
      <c r="L19" t="s">
        <v>558</v>
      </c>
      <c r="M19">
        <v>0</v>
      </c>
      <c r="N19" t="s">
        <v>573</v>
      </c>
    </row>
    <row r="20" spans="1:14" x14ac:dyDescent="0.3">
      <c r="A20" t="s">
        <v>538</v>
      </c>
      <c r="B20" t="s">
        <v>79</v>
      </c>
      <c r="C20" s="140">
        <v>2</v>
      </c>
      <c r="D20">
        <v>0</v>
      </c>
      <c r="F20">
        <v>5</v>
      </c>
      <c r="G20" s="30" t="s">
        <v>524</v>
      </c>
      <c r="H20" s="30" t="s">
        <v>525</v>
      </c>
      <c r="I20" s="30" t="s">
        <v>526</v>
      </c>
      <c r="J20" s="30" t="s">
        <v>423</v>
      </c>
      <c r="K20" s="30" t="s">
        <v>527</v>
      </c>
      <c r="L20" t="s">
        <v>558</v>
      </c>
      <c r="M20">
        <v>0</v>
      </c>
      <c r="N20" t="s">
        <v>573</v>
      </c>
    </row>
    <row r="21" spans="1:14" x14ac:dyDescent="0.3">
      <c r="A21" t="s">
        <v>533</v>
      </c>
      <c r="B21" t="s">
        <v>7</v>
      </c>
      <c r="C21" s="140">
        <v>0.4</v>
      </c>
      <c r="D21">
        <v>0</v>
      </c>
      <c r="F21">
        <v>5</v>
      </c>
      <c r="G21" s="30" t="s">
        <v>524</v>
      </c>
      <c r="H21" s="30" t="s">
        <v>525</v>
      </c>
      <c r="I21" s="30" t="s">
        <v>526</v>
      </c>
      <c r="J21" s="30" t="s">
        <v>423</v>
      </c>
      <c r="K21" s="30" t="s">
        <v>527</v>
      </c>
      <c r="L21" t="s">
        <v>559</v>
      </c>
      <c r="M21">
        <v>0</v>
      </c>
      <c r="N21" t="s">
        <v>535</v>
      </c>
    </row>
    <row r="22" spans="1:14" x14ac:dyDescent="0.3">
      <c r="A22" t="s">
        <v>551</v>
      </c>
      <c r="B22" t="s">
        <v>40</v>
      </c>
      <c r="C22" s="140">
        <v>2</v>
      </c>
      <c r="D22">
        <v>0</v>
      </c>
      <c r="F22">
        <v>6</v>
      </c>
      <c r="G22" s="30" t="s">
        <v>524</v>
      </c>
      <c r="H22" s="30" t="s">
        <v>525</v>
      </c>
      <c r="I22" s="30" t="s">
        <v>526</v>
      </c>
      <c r="J22" s="30" t="s">
        <v>423</v>
      </c>
      <c r="K22" s="30" t="s">
        <v>527</v>
      </c>
      <c r="L22" t="s">
        <v>558</v>
      </c>
      <c r="M22">
        <v>0</v>
      </c>
      <c r="N22" t="s">
        <v>573</v>
      </c>
    </row>
    <row r="23" spans="1:14" x14ac:dyDescent="0.3">
      <c r="A23" t="s">
        <v>541</v>
      </c>
      <c r="B23" t="s">
        <v>52</v>
      </c>
      <c r="C23" s="140">
        <v>2</v>
      </c>
      <c r="D23">
        <v>0</v>
      </c>
      <c r="F23">
        <v>6</v>
      </c>
      <c r="G23" s="30" t="s">
        <v>524</v>
      </c>
      <c r="H23" s="30" t="s">
        <v>525</v>
      </c>
      <c r="I23" s="30" t="s">
        <v>526</v>
      </c>
      <c r="J23" s="30" t="s">
        <v>423</v>
      </c>
      <c r="K23" s="30" t="s">
        <v>527</v>
      </c>
      <c r="L23" t="s">
        <v>558</v>
      </c>
      <c r="M23">
        <v>0</v>
      </c>
      <c r="N23" t="s">
        <v>573</v>
      </c>
    </row>
    <row r="24" spans="1:14" x14ac:dyDescent="0.3">
      <c r="A24" t="s">
        <v>532</v>
      </c>
      <c r="B24" t="s">
        <v>42</v>
      </c>
      <c r="C24" s="140">
        <v>2</v>
      </c>
      <c r="D24">
        <v>0</v>
      </c>
      <c r="F24">
        <v>6</v>
      </c>
      <c r="G24" s="30" t="s">
        <v>524</v>
      </c>
      <c r="H24" s="30" t="s">
        <v>525</v>
      </c>
      <c r="I24" s="30" t="s">
        <v>526</v>
      </c>
      <c r="J24" s="30" t="s">
        <v>423</v>
      </c>
      <c r="K24" s="30" t="s">
        <v>527</v>
      </c>
      <c r="L24" t="s">
        <v>558</v>
      </c>
      <c r="M24">
        <v>0</v>
      </c>
      <c r="N24" t="s">
        <v>573</v>
      </c>
    </row>
    <row r="25" spans="1:14" x14ac:dyDescent="0.3">
      <c r="A25" t="s">
        <v>543</v>
      </c>
      <c r="B25" t="s">
        <v>66</v>
      </c>
      <c r="C25" s="140">
        <v>2</v>
      </c>
      <c r="D25">
        <v>0</v>
      </c>
      <c r="F25">
        <v>6</v>
      </c>
      <c r="G25" s="30" t="s">
        <v>524</v>
      </c>
      <c r="H25" s="30" t="s">
        <v>525</v>
      </c>
      <c r="I25" s="30" t="s">
        <v>526</v>
      </c>
      <c r="J25" s="30" t="s">
        <v>423</v>
      </c>
      <c r="K25" s="30" t="s">
        <v>527</v>
      </c>
      <c r="L25" t="s">
        <v>558</v>
      </c>
      <c r="M25">
        <v>0</v>
      </c>
      <c r="N25" t="s">
        <v>573</v>
      </c>
    </row>
    <row r="26" spans="1:14" x14ac:dyDescent="0.3">
      <c r="A26" t="s">
        <v>515</v>
      </c>
      <c r="B26" t="s">
        <v>62</v>
      </c>
      <c r="C26" s="140">
        <v>2</v>
      </c>
      <c r="D26">
        <v>0</v>
      </c>
      <c r="F26">
        <v>7</v>
      </c>
      <c r="G26" s="30" t="s">
        <v>524</v>
      </c>
      <c r="H26" s="30" t="s">
        <v>525</v>
      </c>
      <c r="I26" s="30" t="s">
        <v>526</v>
      </c>
      <c r="J26" s="30" t="s">
        <v>423</v>
      </c>
      <c r="K26" s="30" t="s">
        <v>527</v>
      </c>
      <c r="L26" t="s">
        <v>558</v>
      </c>
      <c r="M26">
        <v>0</v>
      </c>
      <c r="N26" t="s">
        <v>573</v>
      </c>
    </row>
    <row r="27" spans="1:14" x14ac:dyDescent="0.3">
      <c r="A27" t="s">
        <v>519</v>
      </c>
      <c r="B27" t="s">
        <v>30</v>
      </c>
      <c r="C27" s="140">
        <v>2</v>
      </c>
      <c r="D27">
        <v>0</v>
      </c>
      <c r="F27">
        <v>7</v>
      </c>
      <c r="G27" s="30" t="s">
        <v>524</v>
      </c>
      <c r="H27" s="30" t="s">
        <v>525</v>
      </c>
      <c r="I27" s="30" t="s">
        <v>526</v>
      </c>
      <c r="J27" s="30" t="s">
        <v>423</v>
      </c>
      <c r="K27" s="30" t="s">
        <v>527</v>
      </c>
      <c r="L27" t="s">
        <v>558</v>
      </c>
      <c r="M27">
        <v>0</v>
      </c>
      <c r="N27" t="s">
        <v>573</v>
      </c>
    </row>
    <row r="28" spans="1:14" x14ac:dyDescent="0.3">
      <c r="A28" t="s">
        <v>547</v>
      </c>
      <c r="B28" t="s">
        <v>43</v>
      </c>
      <c r="C28" s="140">
        <v>2</v>
      </c>
      <c r="D28">
        <v>0</v>
      </c>
      <c r="F28">
        <v>7</v>
      </c>
      <c r="G28" s="30" t="s">
        <v>524</v>
      </c>
      <c r="H28" s="30" t="s">
        <v>525</v>
      </c>
      <c r="I28" s="30" t="s">
        <v>526</v>
      </c>
      <c r="J28" s="30" t="s">
        <v>423</v>
      </c>
      <c r="K28" s="30" t="s">
        <v>527</v>
      </c>
      <c r="L28" t="s">
        <v>558</v>
      </c>
      <c r="M28">
        <v>0</v>
      </c>
      <c r="N28" t="s">
        <v>573</v>
      </c>
    </row>
    <row r="29" spans="1:14" x14ac:dyDescent="0.3">
      <c r="A29" t="s">
        <v>530</v>
      </c>
      <c r="B29" t="s">
        <v>11</v>
      </c>
      <c r="C29" s="140">
        <v>2</v>
      </c>
      <c r="D29">
        <v>0</v>
      </c>
      <c r="F29">
        <v>7</v>
      </c>
      <c r="G29" s="30" t="s">
        <v>524</v>
      </c>
      <c r="H29" s="30" t="s">
        <v>525</v>
      </c>
      <c r="I29" s="30" t="s">
        <v>526</v>
      </c>
      <c r="J29" s="30" t="s">
        <v>423</v>
      </c>
      <c r="K29" s="30" t="s">
        <v>527</v>
      </c>
      <c r="L29" t="s">
        <v>558</v>
      </c>
      <c r="M29">
        <v>0</v>
      </c>
      <c r="N29" t="s">
        <v>573</v>
      </c>
    </row>
    <row r="30" spans="1:14" x14ac:dyDescent="0.3">
      <c r="A30" t="s">
        <v>552</v>
      </c>
      <c r="B30" t="s">
        <v>96</v>
      </c>
      <c r="C30" s="140">
        <v>2</v>
      </c>
      <c r="D30">
        <v>0</v>
      </c>
      <c r="F30">
        <v>8</v>
      </c>
      <c r="G30" s="30" t="s">
        <v>524</v>
      </c>
      <c r="H30" s="30" t="s">
        <v>525</v>
      </c>
      <c r="I30" s="30" t="s">
        <v>526</v>
      </c>
      <c r="J30" s="30" t="s">
        <v>423</v>
      </c>
      <c r="K30" s="30" t="s">
        <v>527</v>
      </c>
      <c r="L30" t="s">
        <v>558</v>
      </c>
      <c r="M30">
        <v>0</v>
      </c>
      <c r="N30" t="s">
        <v>573</v>
      </c>
    </row>
    <row r="31" spans="1:14" x14ac:dyDescent="0.3">
      <c r="A31" t="s">
        <v>540</v>
      </c>
      <c r="B31" t="s">
        <v>18</v>
      </c>
      <c r="C31" s="140">
        <v>2</v>
      </c>
      <c r="D31">
        <v>0</v>
      </c>
      <c r="F31">
        <v>8</v>
      </c>
      <c r="G31" s="30" t="s">
        <v>524</v>
      </c>
      <c r="H31" s="30" t="s">
        <v>525</v>
      </c>
      <c r="I31" s="30" t="s">
        <v>526</v>
      </c>
      <c r="J31" s="30" t="s">
        <v>423</v>
      </c>
      <c r="K31" s="30" t="s">
        <v>527</v>
      </c>
      <c r="L31" t="s">
        <v>558</v>
      </c>
      <c r="M31">
        <v>0</v>
      </c>
      <c r="N31" t="s">
        <v>573</v>
      </c>
    </row>
    <row r="32" spans="1:14" x14ac:dyDescent="0.3">
      <c r="A32" t="s">
        <v>517</v>
      </c>
      <c r="B32" t="s">
        <v>12</v>
      </c>
      <c r="C32" s="140">
        <v>2</v>
      </c>
      <c r="D32">
        <v>0</v>
      </c>
      <c r="F32">
        <v>8</v>
      </c>
      <c r="G32" s="30" t="s">
        <v>524</v>
      </c>
      <c r="H32" s="30" t="s">
        <v>525</v>
      </c>
      <c r="I32" s="30" t="s">
        <v>526</v>
      </c>
      <c r="J32" s="30" t="s">
        <v>423</v>
      </c>
      <c r="K32" s="30" t="s">
        <v>527</v>
      </c>
      <c r="L32" t="s">
        <v>558</v>
      </c>
      <c r="M32">
        <v>0</v>
      </c>
      <c r="N32" t="s">
        <v>573</v>
      </c>
    </row>
    <row r="33" spans="1:14" x14ac:dyDescent="0.3">
      <c r="A33" t="s">
        <v>528</v>
      </c>
      <c r="B33" t="s">
        <v>37</v>
      </c>
      <c r="C33" s="140">
        <v>2</v>
      </c>
      <c r="D33">
        <v>0</v>
      </c>
      <c r="F33">
        <v>8</v>
      </c>
      <c r="G33" s="30" t="s">
        <v>524</v>
      </c>
      <c r="H33" s="30" t="s">
        <v>525</v>
      </c>
      <c r="I33" s="30" t="s">
        <v>526</v>
      </c>
      <c r="J33" s="30" t="s">
        <v>423</v>
      </c>
      <c r="K33" s="30" t="s">
        <v>527</v>
      </c>
      <c r="L33" t="s">
        <v>558</v>
      </c>
      <c r="M33">
        <v>0</v>
      </c>
      <c r="N33" t="s">
        <v>573</v>
      </c>
    </row>
    <row r="34" spans="1:14" x14ac:dyDescent="0.3">
      <c r="A34" t="s">
        <v>553</v>
      </c>
      <c r="B34" t="s">
        <v>21</v>
      </c>
      <c r="C34" s="140">
        <v>2</v>
      </c>
      <c r="D34">
        <v>0</v>
      </c>
      <c r="F34">
        <v>9</v>
      </c>
      <c r="G34" s="30" t="s">
        <v>524</v>
      </c>
      <c r="H34" s="30" t="s">
        <v>525</v>
      </c>
      <c r="I34" s="30" t="s">
        <v>526</v>
      </c>
      <c r="J34" s="30" t="s">
        <v>423</v>
      </c>
      <c r="K34" s="30" t="s">
        <v>527</v>
      </c>
      <c r="L34" t="s">
        <v>558</v>
      </c>
      <c r="M34">
        <v>0</v>
      </c>
      <c r="N34" t="s">
        <v>573</v>
      </c>
    </row>
    <row r="35" spans="1:14" x14ac:dyDescent="0.3">
      <c r="A35" t="s">
        <v>539</v>
      </c>
      <c r="B35" t="s">
        <v>49</v>
      </c>
      <c r="C35" s="140">
        <v>2</v>
      </c>
      <c r="D35">
        <v>0</v>
      </c>
      <c r="F35">
        <v>9</v>
      </c>
      <c r="G35" s="30" t="s">
        <v>524</v>
      </c>
      <c r="H35" s="30" t="s">
        <v>525</v>
      </c>
      <c r="I35" s="30" t="s">
        <v>526</v>
      </c>
      <c r="J35" s="30" t="s">
        <v>423</v>
      </c>
      <c r="K35" s="30" t="s">
        <v>527</v>
      </c>
      <c r="L35" t="s">
        <v>558</v>
      </c>
      <c r="M35">
        <v>0</v>
      </c>
      <c r="N35" t="s">
        <v>573</v>
      </c>
    </row>
    <row r="36" spans="1:14" x14ac:dyDescent="0.3">
      <c r="A36" t="s">
        <v>518</v>
      </c>
      <c r="B36" t="s">
        <v>34</v>
      </c>
      <c r="C36" s="140">
        <v>2</v>
      </c>
      <c r="D36">
        <v>0</v>
      </c>
      <c r="F36">
        <v>9</v>
      </c>
      <c r="G36" s="30" t="s">
        <v>524</v>
      </c>
      <c r="H36" s="30" t="s">
        <v>525</v>
      </c>
      <c r="I36" s="30" t="s">
        <v>526</v>
      </c>
      <c r="J36" s="30" t="s">
        <v>423</v>
      </c>
      <c r="K36" s="30" t="s">
        <v>527</v>
      </c>
      <c r="L36" t="s">
        <v>558</v>
      </c>
      <c r="M36">
        <v>0</v>
      </c>
      <c r="N36" t="s">
        <v>573</v>
      </c>
    </row>
    <row r="37" spans="1:14" x14ac:dyDescent="0.3">
      <c r="A37" t="s">
        <v>554</v>
      </c>
      <c r="B37" t="s">
        <v>93</v>
      </c>
      <c r="C37" s="140">
        <v>2</v>
      </c>
      <c r="D37">
        <v>0</v>
      </c>
      <c r="F37">
        <v>9</v>
      </c>
      <c r="G37" s="30" t="s">
        <v>524</v>
      </c>
      <c r="H37" s="30" t="s">
        <v>525</v>
      </c>
      <c r="I37" s="30" t="s">
        <v>526</v>
      </c>
      <c r="J37" s="30" t="s">
        <v>423</v>
      </c>
      <c r="K37" s="30" t="s">
        <v>527</v>
      </c>
      <c r="L37" t="s">
        <v>558</v>
      </c>
      <c r="M37">
        <v>0</v>
      </c>
      <c r="N37" t="s">
        <v>573</v>
      </c>
    </row>
    <row r="38" spans="1:14" x14ac:dyDescent="0.3">
      <c r="A38" t="s">
        <v>555</v>
      </c>
      <c r="B38" t="s">
        <v>90</v>
      </c>
      <c r="C38" s="140">
        <v>2</v>
      </c>
      <c r="D38">
        <v>0</v>
      </c>
      <c r="F38">
        <v>10</v>
      </c>
      <c r="G38" s="30" t="s">
        <v>524</v>
      </c>
      <c r="H38" s="30" t="s">
        <v>525</v>
      </c>
      <c r="I38" s="30" t="s">
        <v>526</v>
      </c>
      <c r="J38" s="30" t="s">
        <v>423</v>
      </c>
      <c r="K38" s="30" t="s">
        <v>527</v>
      </c>
      <c r="L38" t="s">
        <v>558</v>
      </c>
      <c r="M38">
        <v>0</v>
      </c>
      <c r="N38" t="s">
        <v>573</v>
      </c>
    </row>
    <row r="39" spans="1:14" x14ac:dyDescent="0.3">
      <c r="A39" t="s">
        <v>533</v>
      </c>
      <c r="B39" t="s">
        <v>7</v>
      </c>
      <c r="C39" s="140">
        <v>2</v>
      </c>
      <c r="D39">
        <v>0</v>
      </c>
      <c r="F39">
        <v>10</v>
      </c>
      <c r="G39" s="30" t="s">
        <v>524</v>
      </c>
      <c r="H39" s="30" t="s">
        <v>525</v>
      </c>
      <c r="I39" s="30" t="s">
        <v>526</v>
      </c>
      <c r="J39" s="30" t="s">
        <v>423</v>
      </c>
      <c r="K39" s="30" t="s">
        <v>527</v>
      </c>
      <c r="L39" t="s">
        <v>558</v>
      </c>
      <c r="M39">
        <v>0</v>
      </c>
      <c r="N39" t="s">
        <v>573</v>
      </c>
    </row>
    <row r="40" spans="1:14" x14ac:dyDescent="0.3">
      <c r="A40" t="s">
        <v>556</v>
      </c>
      <c r="B40" t="s">
        <v>72</v>
      </c>
      <c r="C40" s="140">
        <v>2</v>
      </c>
      <c r="D40">
        <v>0</v>
      </c>
      <c r="F40">
        <v>10</v>
      </c>
      <c r="G40" s="30" t="s">
        <v>524</v>
      </c>
      <c r="H40" s="30" t="s">
        <v>525</v>
      </c>
      <c r="I40" s="30" t="s">
        <v>526</v>
      </c>
      <c r="J40" s="30" t="s">
        <v>423</v>
      </c>
      <c r="K40" s="30" t="s">
        <v>527</v>
      </c>
      <c r="L40" t="s">
        <v>558</v>
      </c>
      <c r="M40">
        <v>0</v>
      </c>
      <c r="N40" t="s">
        <v>573</v>
      </c>
    </row>
    <row r="41" spans="1:14" x14ac:dyDescent="0.3">
      <c r="A41" t="s">
        <v>523</v>
      </c>
      <c r="B41" t="s">
        <v>27</v>
      </c>
      <c r="C41" s="140">
        <v>2</v>
      </c>
      <c r="D41">
        <v>0</v>
      </c>
      <c r="F41">
        <v>10</v>
      </c>
      <c r="G41" s="30" t="s">
        <v>524</v>
      </c>
      <c r="H41" s="30" t="s">
        <v>525</v>
      </c>
      <c r="I41" s="30" t="s">
        <v>526</v>
      </c>
      <c r="J41" s="30" t="s">
        <v>423</v>
      </c>
      <c r="K41" s="30" t="s">
        <v>527</v>
      </c>
      <c r="L41" t="s">
        <v>558</v>
      </c>
      <c r="M41">
        <v>0</v>
      </c>
      <c r="N41" t="s">
        <v>573</v>
      </c>
    </row>
    <row r="42" spans="1:14" x14ac:dyDescent="0.3">
      <c r="A42" t="s">
        <v>532</v>
      </c>
      <c r="B42" t="s">
        <v>42</v>
      </c>
      <c r="C42" s="140">
        <v>2</v>
      </c>
      <c r="D42">
        <v>0</v>
      </c>
      <c r="F42">
        <v>11</v>
      </c>
      <c r="G42" s="30" t="s">
        <v>524</v>
      </c>
      <c r="H42" s="30" t="s">
        <v>525</v>
      </c>
      <c r="I42" s="30" t="s">
        <v>526</v>
      </c>
      <c r="J42" s="30" t="s">
        <v>423</v>
      </c>
      <c r="K42" s="30" t="s">
        <v>527</v>
      </c>
      <c r="L42" t="s">
        <v>558</v>
      </c>
      <c r="M42">
        <v>0</v>
      </c>
      <c r="N42" t="s">
        <v>573</v>
      </c>
    </row>
    <row r="43" spans="1:14" x14ac:dyDescent="0.3">
      <c r="A43" t="s">
        <v>520</v>
      </c>
      <c r="B43" t="s">
        <v>54</v>
      </c>
      <c r="C43" s="140">
        <v>2</v>
      </c>
      <c r="D43">
        <v>0</v>
      </c>
      <c r="F43">
        <v>11</v>
      </c>
      <c r="G43" s="30" t="s">
        <v>524</v>
      </c>
      <c r="H43" s="30" t="s">
        <v>525</v>
      </c>
      <c r="I43" s="30" t="s">
        <v>526</v>
      </c>
      <c r="J43" s="30" t="s">
        <v>423</v>
      </c>
      <c r="K43" s="30" t="s">
        <v>527</v>
      </c>
      <c r="L43" t="s">
        <v>558</v>
      </c>
      <c r="M43">
        <v>0</v>
      </c>
      <c r="N43" t="s">
        <v>573</v>
      </c>
    </row>
    <row r="44" spans="1:14" x14ac:dyDescent="0.3">
      <c r="A44" t="s">
        <v>557</v>
      </c>
      <c r="B44" t="s">
        <v>92</v>
      </c>
      <c r="C44" s="140">
        <v>1</v>
      </c>
      <c r="D44">
        <v>0</v>
      </c>
      <c r="F44">
        <v>11</v>
      </c>
      <c r="G44" s="30" t="s">
        <v>524</v>
      </c>
      <c r="H44" s="30" t="s">
        <v>525</v>
      </c>
      <c r="I44" s="30" t="s">
        <v>526</v>
      </c>
      <c r="J44" s="30" t="s">
        <v>423</v>
      </c>
      <c r="K44" s="30" t="s">
        <v>527</v>
      </c>
      <c r="L44" t="s">
        <v>560</v>
      </c>
      <c r="M44">
        <v>0</v>
      </c>
      <c r="N44" t="s">
        <v>574</v>
      </c>
    </row>
    <row r="45" spans="1:14" x14ac:dyDescent="0.3">
      <c r="A45" t="s">
        <v>532</v>
      </c>
      <c r="B45" t="s">
        <v>42</v>
      </c>
      <c r="C45" s="140">
        <v>0.4</v>
      </c>
      <c r="D45">
        <v>0</v>
      </c>
      <c r="F45">
        <v>11</v>
      </c>
      <c r="G45" s="30" t="s">
        <v>524</v>
      </c>
      <c r="H45" s="30" t="s">
        <v>525</v>
      </c>
      <c r="I45" s="30" t="s">
        <v>526</v>
      </c>
      <c r="J45" s="30" t="s">
        <v>423</v>
      </c>
      <c r="K45" s="30" t="s">
        <v>527</v>
      </c>
      <c r="L45" t="s">
        <v>559</v>
      </c>
      <c r="M45">
        <v>0</v>
      </c>
      <c r="N45" t="s">
        <v>535</v>
      </c>
    </row>
    <row r="46" spans="1:14" x14ac:dyDescent="0.3">
      <c r="A46" t="s">
        <v>552</v>
      </c>
      <c r="B46" t="s">
        <v>96</v>
      </c>
      <c r="C46" s="140">
        <v>0.4</v>
      </c>
      <c r="D46">
        <v>0</v>
      </c>
      <c r="F46">
        <v>11</v>
      </c>
      <c r="G46" s="30" t="s">
        <v>524</v>
      </c>
      <c r="H46" s="30" t="s">
        <v>525</v>
      </c>
      <c r="I46" s="30" t="s">
        <v>526</v>
      </c>
      <c r="J46" s="30" t="s">
        <v>423</v>
      </c>
      <c r="K46" s="30" t="s">
        <v>527</v>
      </c>
      <c r="L46" t="s">
        <v>559</v>
      </c>
      <c r="M46">
        <v>0</v>
      </c>
      <c r="N46" t="s">
        <v>535</v>
      </c>
    </row>
    <row r="47" spans="1:14" x14ac:dyDescent="0.3">
      <c r="A47" t="s">
        <v>519</v>
      </c>
      <c r="B47" t="s">
        <v>30</v>
      </c>
      <c r="C47" s="140">
        <v>2</v>
      </c>
      <c r="D47">
        <v>0</v>
      </c>
      <c r="F47">
        <v>12</v>
      </c>
      <c r="G47" s="30" t="s">
        <v>524</v>
      </c>
      <c r="H47" s="30" t="s">
        <v>525</v>
      </c>
      <c r="I47" s="30" t="s">
        <v>526</v>
      </c>
      <c r="J47" s="30" t="s">
        <v>423</v>
      </c>
      <c r="K47" s="30" t="s">
        <v>527</v>
      </c>
      <c r="L47" t="s">
        <v>558</v>
      </c>
      <c r="M47">
        <v>0</v>
      </c>
      <c r="N47" t="s">
        <v>573</v>
      </c>
    </row>
    <row r="48" spans="1:14" x14ac:dyDescent="0.3">
      <c r="A48" t="s">
        <v>561</v>
      </c>
      <c r="B48" t="s">
        <v>69</v>
      </c>
      <c r="C48" s="140">
        <v>2</v>
      </c>
      <c r="D48">
        <v>0</v>
      </c>
      <c r="F48">
        <v>12</v>
      </c>
      <c r="G48" s="30" t="s">
        <v>524</v>
      </c>
      <c r="H48" s="30" t="s">
        <v>525</v>
      </c>
      <c r="I48" s="30" t="s">
        <v>526</v>
      </c>
      <c r="J48" s="30" t="s">
        <v>423</v>
      </c>
      <c r="K48" s="30" t="s">
        <v>527</v>
      </c>
      <c r="L48" t="s">
        <v>558</v>
      </c>
      <c r="M48">
        <v>0</v>
      </c>
      <c r="N48" t="s">
        <v>573</v>
      </c>
    </row>
    <row r="49" spans="1:14" x14ac:dyDescent="0.3">
      <c r="A49" t="s">
        <v>543</v>
      </c>
      <c r="B49" t="s">
        <v>66</v>
      </c>
      <c r="C49" s="140">
        <v>1</v>
      </c>
      <c r="D49">
        <v>0</v>
      </c>
      <c r="F49">
        <v>12</v>
      </c>
      <c r="G49" s="30" t="s">
        <v>524</v>
      </c>
      <c r="H49" s="30" t="s">
        <v>525</v>
      </c>
      <c r="I49" s="30" t="s">
        <v>526</v>
      </c>
      <c r="J49" s="30" t="s">
        <v>423</v>
      </c>
      <c r="K49" s="30" t="s">
        <v>527</v>
      </c>
      <c r="L49" t="s">
        <v>560</v>
      </c>
      <c r="M49">
        <v>0</v>
      </c>
      <c r="N49" t="s">
        <v>574</v>
      </c>
    </row>
    <row r="50" spans="1:14" x14ac:dyDescent="0.3">
      <c r="A50" t="s">
        <v>562</v>
      </c>
      <c r="B50" t="s">
        <v>53</v>
      </c>
      <c r="C50" s="140">
        <v>0.4</v>
      </c>
      <c r="D50">
        <v>0</v>
      </c>
      <c r="F50">
        <v>12</v>
      </c>
      <c r="G50" s="30" t="s">
        <v>524</v>
      </c>
      <c r="H50" s="30" t="s">
        <v>525</v>
      </c>
      <c r="I50" s="30" t="s">
        <v>526</v>
      </c>
      <c r="J50" s="30" t="s">
        <v>423</v>
      </c>
      <c r="K50" s="30" t="s">
        <v>527</v>
      </c>
      <c r="L50" t="s">
        <v>559</v>
      </c>
      <c r="M50">
        <v>0</v>
      </c>
      <c r="N50" t="s">
        <v>535</v>
      </c>
    </row>
    <row r="51" spans="1:14" x14ac:dyDescent="0.3">
      <c r="A51" t="s">
        <v>561</v>
      </c>
      <c r="B51" t="s">
        <v>69</v>
      </c>
      <c r="C51" s="140">
        <v>0.4</v>
      </c>
      <c r="D51">
        <v>0</v>
      </c>
      <c r="F51">
        <v>12</v>
      </c>
      <c r="G51" s="30" t="s">
        <v>524</v>
      </c>
      <c r="H51" s="30" t="s">
        <v>525</v>
      </c>
      <c r="I51" s="30" t="s">
        <v>526</v>
      </c>
      <c r="J51" s="30" t="s">
        <v>423</v>
      </c>
      <c r="K51" s="30" t="s">
        <v>527</v>
      </c>
      <c r="L51" t="s">
        <v>559</v>
      </c>
      <c r="M51">
        <v>0</v>
      </c>
      <c r="N51" t="s">
        <v>535</v>
      </c>
    </row>
    <row r="52" spans="1:14" x14ac:dyDescent="0.3">
      <c r="A52" t="s">
        <v>543</v>
      </c>
      <c r="B52" t="s">
        <v>66</v>
      </c>
      <c r="C52" s="140">
        <v>2</v>
      </c>
      <c r="D52">
        <v>0</v>
      </c>
      <c r="F52">
        <v>13</v>
      </c>
      <c r="G52" s="30" t="s">
        <v>524</v>
      </c>
      <c r="H52" s="30" t="s">
        <v>525</v>
      </c>
      <c r="I52" s="30" t="s">
        <v>526</v>
      </c>
      <c r="J52" s="30" t="s">
        <v>423</v>
      </c>
      <c r="K52" s="30" t="s">
        <v>527</v>
      </c>
      <c r="L52" t="s">
        <v>558</v>
      </c>
      <c r="M52">
        <v>0</v>
      </c>
      <c r="N52" t="s">
        <v>573</v>
      </c>
    </row>
    <row r="53" spans="1:14" x14ac:dyDescent="0.3">
      <c r="A53" t="s">
        <v>516</v>
      </c>
      <c r="B53" t="s">
        <v>19</v>
      </c>
      <c r="C53" s="140">
        <v>2</v>
      </c>
      <c r="D53">
        <v>0</v>
      </c>
      <c r="F53">
        <v>13</v>
      </c>
      <c r="G53" s="30" t="s">
        <v>524</v>
      </c>
      <c r="H53" s="30" t="s">
        <v>525</v>
      </c>
      <c r="I53" s="30" t="s">
        <v>526</v>
      </c>
      <c r="J53" s="30" t="s">
        <v>423</v>
      </c>
      <c r="K53" s="30" t="s">
        <v>527</v>
      </c>
      <c r="L53" t="s">
        <v>558</v>
      </c>
      <c r="M53">
        <v>0</v>
      </c>
      <c r="N53" t="s">
        <v>573</v>
      </c>
    </row>
    <row r="54" spans="1:14" x14ac:dyDescent="0.3">
      <c r="A54" t="s">
        <v>550</v>
      </c>
      <c r="B54" t="s">
        <v>14</v>
      </c>
      <c r="C54" s="140">
        <v>1</v>
      </c>
      <c r="D54">
        <v>0</v>
      </c>
      <c r="F54">
        <v>13</v>
      </c>
      <c r="G54" s="30" t="s">
        <v>524</v>
      </c>
      <c r="H54" s="30" t="s">
        <v>525</v>
      </c>
      <c r="I54" s="30" t="s">
        <v>526</v>
      </c>
      <c r="J54" s="30" t="s">
        <v>423</v>
      </c>
      <c r="K54" s="30" t="s">
        <v>527</v>
      </c>
      <c r="L54" t="s">
        <v>560</v>
      </c>
      <c r="M54">
        <v>0</v>
      </c>
      <c r="N54" t="s">
        <v>574</v>
      </c>
    </row>
    <row r="55" spans="1:14" x14ac:dyDescent="0.3">
      <c r="A55" t="s">
        <v>563</v>
      </c>
      <c r="B55" t="s">
        <v>97</v>
      </c>
      <c r="C55" s="140">
        <v>0.4</v>
      </c>
      <c r="D55">
        <v>0</v>
      </c>
      <c r="F55">
        <v>13</v>
      </c>
      <c r="G55" s="30" t="s">
        <v>524</v>
      </c>
      <c r="H55" s="30" t="s">
        <v>525</v>
      </c>
      <c r="I55" s="30" t="s">
        <v>526</v>
      </c>
      <c r="J55" s="30" t="s">
        <v>423</v>
      </c>
      <c r="K55" s="30" t="s">
        <v>527</v>
      </c>
      <c r="L55" t="s">
        <v>559</v>
      </c>
      <c r="M55">
        <v>0</v>
      </c>
      <c r="N55" t="s">
        <v>535</v>
      </c>
    </row>
    <row r="56" spans="1:14" x14ac:dyDescent="0.3">
      <c r="A56" t="s">
        <v>540</v>
      </c>
      <c r="B56" t="s">
        <v>18</v>
      </c>
      <c r="C56" s="140">
        <v>0.4</v>
      </c>
      <c r="D56">
        <v>0</v>
      </c>
      <c r="F56">
        <v>13</v>
      </c>
      <c r="G56" s="30" t="s">
        <v>524</v>
      </c>
      <c r="H56" s="30" t="s">
        <v>525</v>
      </c>
      <c r="I56" s="30" t="s">
        <v>526</v>
      </c>
      <c r="J56" s="30" t="s">
        <v>423</v>
      </c>
      <c r="K56" s="30" t="s">
        <v>527</v>
      </c>
      <c r="L56" t="s">
        <v>559</v>
      </c>
      <c r="M56">
        <v>0</v>
      </c>
      <c r="N56" t="s">
        <v>535</v>
      </c>
    </row>
    <row r="57" spans="1:14" x14ac:dyDescent="0.3">
      <c r="A57" t="s">
        <v>564</v>
      </c>
      <c r="B57" t="s">
        <v>5</v>
      </c>
      <c r="C57" s="140">
        <v>2</v>
      </c>
      <c r="D57">
        <v>0</v>
      </c>
      <c r="F57">
        <v>14</v>
      </c>
      <c r="G57" s="30" t="s">
        <v>524</v>
      </c>
      <c r="H57" s="30" t="s">
        <v>525</v>
      </c>
      <c r="I57" s="30" t="s">
        <v>526</v>
      </c>
      <c r="J57" s="30" t="s">
        <v>423</v>
      </c>
      <c r="K57" s="30" t="s">
        <v>527</v>
      </c>
      <c r="L57" t="s">
        <v>558</v>
      </c>
      <c r="M57">
        <v>0</v>
      </c>
      <c r="N57" t="s">
        <v>573</v>
      </c>
    </row>
    <row r="58" spans="1:14" x14ac:dyDescent="0.3">
      <c r="A58" t="s">
        <v>565</v>
      </c>
      <c r="B58" t="s">
        <v>55</v>
      </c>
      <c r="C58" s="140">
        <v>2</v>
      </c>
      <c r="D58">
        <v>0</v>
      </c>
      <c r="F58">
        <v>14</v>
      </c>
      <c r="G58" s="30" t="s">
        <v>524</v>
      </c>
      <c r="H58" s="30" t="s">
        <v>525</v>
      </c>
      <c r="I58" s="30" t="s">
        <v>526</v>
      </c>
      <c r="J58" s="30" t="s">
        <v>423</v>
      </c>
      <c r="K58" s="30" t="s">
        <v>527</v>
      </c>
      <c r="L58" t="s">
        <v>558</v>
      </c>
      <c r="M58">
        <v>0</v>
      </c>
      <c r="N58" t="s">
        <v>573</v>
      </c>
    </row>
    <row r="59" spans="1:14" x14ac:dyDescent="0.3">
      <c r="A59" t="s">
        <v>566</v>
      </c>
      <c r="B59" t="s">
        <v>86</v>
      </c>
      <c r="C59" s="140">
        <v>1</v>
      </c>
      <c r="D59">
        <v>0</v>
      </c>
      <c r="F59">
        <v>14</v>
      </c>
      <c r="G59" s="30" t="s">
        <v>524</v>
      </c>
      <c r="H59" s="30" t="s">
        <v>525</v>
      </c>
      <c r="I59" s="30" t="s">
        <v>526</v>
      </c>
      <c r="J59" s="30" t="s">
        <v>423</v>
      </c>
      <c r="K59" s="30" t="s">
        <v>527</v>
      </c>
      <c r="L59" t="s">
        <v>560</v>
      </c>
      <c r="M59">
        <v>0</v>
      </c>
      <c r="N59" t="s">
        <v>574</v>
      </c>
    </row>
    <row r="60" spans="1:14" x14ac:dyDescent="0.3">
      <c r="A60" t="s">
        <v>567</v>
      </c>
      <c r="B60" t="s">
        <v>67</v>
      </c>
      <c r="C60" s="140">
        <v>0.4</v>
      </c>
      <c r="D60">
        <v>0</v>
      </c>
      <c r="F60">
        <v>14</v>
      </c>
      <c r="G60" s="30" t="s">
        <v>524</v>
      </c>
      <c r="H60" s="30" t="s">
        <v>525</v>
      </c>
      <c r="I60" s="30" t="s">
        <v>526</v>
      </c>
      <c r="J60" s="30" t="s">
        <v>423</v>
      </c>
      <c r="K60" s="30" t="s">
        <v>527</v>
      </c>
      <c r="L60" t="s">
        <v>559</v>
      </c>
      <c r="M60">
        <v>0</v>
      </c>
      <c r="N60" t="s">
        <v>535</v>
      </c>
    </row>
    <row r="61" spans="1:14" x14ac:dyDescent="0.3">
      <c r="A61" t="s">
        <v>568</v>
      </c>
      <c r="B61" t="s">
        <v>20</v>
      </c>
      <c r="C61" s="140">
        <v>0.4</v>
      </c>
      <c r="D61">
        <v>0</v>
      </c>
      <c r="F61">
        <v>14</v>
      </c>
      <c r="G61" s="30" t="s">
        <v>524</v>
      </c>
      <c r="H61" s="30" t="s">
        <v>525</v>
      </c>
      <c r="I61" s="30" t="s">
        <v>526</v>
      </c>
      <c r="J61" s="30" t="s">
        <v>423</v>
      </c>
      <c r="K61" s="30" t="s">
        <v>527</v>
      </c>
      <c r="L61" t="s">
        <v>559</v>
      </c>
      <c r="M61">
        <v>0</v>
      </c>
      <c r="N61" t="s">
        <v>535</v>
      </c>
    </row>
    <row r="62" spans="1:14" x14ac:dyDescent="0.3">
      <c r="A62" t="s">
        <v>528</v>
      </c>
      <c r="B62" t="s">
        <v>37</v>
      </c>
      <c r="C62" s="140">
        <v>2</v>
      </c>
      <c r="D62">
        <v>0</v>
      </c>
      <c r="F62">
        <v>15</v>
      </c>
      <c r="G62" s="30" t="s">
        <v>524</v>
      </c>
      <c r="H62" s="30" t="s">
        <v>525</v>
      </c>
      <c r="I62" s="30" t="s">
        <v>526</v>
      </c>
      <c r="J62" s="30" t="s">
        <v>423</v>
      </c>
      <c r="K62" s="30" t="s">
        <v>527</v>
      </c>
      <c r="L62" t="s">
        <v>558</v>
      </c>
      <c r="M62">
        <v>0</v>
      </c>
      <c r="N62" t="s">
        <v>573</v>
      </c>
    </row>
    <row r="63" spans="1:14" x14ac:dyDescent="0.3">
      <c r="A63" t="s">
        <v>569</v>
      </c>
      <c r="B63" t="s">
        <v>46</v>
      </c>
      <c r="C63" s="140">
        <v>2</v>
      </c>
      <c r="D63">
        <v>0</v>
      </c>
      <c r="F63">
        <v>15</v>
      </c>
      <c r="G63" s="30" t="s">
        <v>524</v>
      </c>
      <c r="H63" s="30" t="s">
        <v>525</v>
      </c>
      <c r="I63" s="30" t="s">
        <v>526</v>
      </c>
      <c r="J63" s="30" t="s">
        <v>423</v>
      </c>
      <c r="K63" s="30" t="s">
        <v>527</v>
      </c>
      <c r="L63" t="s">
        <v>558</v>
      </c>
      <c r="M63">
        <v>0</v>
      </c>
      <c r="N63" t="s">
        <v>573</v>
      </c>
    </row>
    <row r="64" spans="1:14" x14ac:dyDescent="0.3">
      <c r="A64" t="s">
        <v>552</v>
      </c>
      <c r="B64" t="s">
        <v>96</v>
      </c>
      <c r="C64" s="140">
        <v>1</v>
      </c>
      <c r="D64">
        <v>0</v>
      </c>
      <c r="F64">
        <v>15</v>
      </c>
      <c r="G64" s="30" t="s">
        <v>524</v>
      </c>
      <c r="H64" s="30" t="s">
        <v>525</v>
      </c>
      <c r="I64" s="30" t="s">
        <v>526</v>
      </c>
      <c r="J64" s="30" t="s">
        <v>423</v>
      </c>
      <c r="K64" s="30" t="s">
        <v>527</v>
      </c>
      <c r="L64" t="s">
        <v>560</v>
      </c>
      <c r="M64">
        <v>0</v>
      </c>
      <c r="N64" t="s">
        <v>574</v>
      </c>
    </row>
    <row r="65" spans="1:14" x14ac:dyDescent="0.3">
      <c r="A65" t="s">
        <v>570</v>
      </c>
      <c r="B65" t="s">
        <v>17</v>
      </c>
      <c r="C65" s="140">
        <v>0.4</v>
      </c>
      <c r="D65">
        <v>0</v>
      </c>
      <c r="F65">
        <v>15</v>
      </c>
      <c r="G65" s="30" t="s">
        <v>524</v>
      </c>
      <c r="H65" s="30" t="s">
        <v>525</v>
      </c>
      <c r="I65" s="30" t="s">
        <v>526</v>
      </c>
      <c r="J65" s="30" t="s">
        <v>423</v>
      </c>
      <c r="K65" s="30" t="s">
        <v>527</v>
      </c>
      <c r="L65" t="s">
        <v>559</v>
      </c>
      <c r="M65">
        <v>0</v>
      </c>
      <c r="N65" t="s">
        <v>535</v>
      </c>
    </row>
    <row r="66" spans="1:14" x14ac:dyDescent="0.3">
      <c r="A66" t="s">
        <v>537</v>
      </c>
      <c r="B66" t="s">
        <v>84</v>
      </c>
      <c r="C66" s="140">
        <v>0.4</v>
      </c>
      <c r="D66">
        <v>0</v>
      </c>
      <c r="F66">
        <v>15</v>
      </c>
      <c r="G66" s="30" t="s">
        <v>524</v>
      </c>
      <c r="H66" s="30" t="s">
        <v>525</v>
      </c>
      <c r="I66" s="30" t="s">
        <v>526</v>
      </c>
      <c r="J66" s="30" t="s">
        <v>423</v>
      </c>
      <c r="K66" s="30" t="s">
        <v>527</v>
      </c>
      <c r="L66" t="s">
        <v>559</v>
      </c>
      <c r="M66">
        <v>0</v>
      </c>
      <c r="N66" t="s">
        <v>535</v>
      </c>
    </row>
    <row r="67" spans="1:14" x14ac:dyDescent="0.3">
      <c r="A67" t="s">
        <v>571</v>
      </c>
      <c r="B67" t="s">
        <v>63</v>
      </c>
      <c r="C67" s="140">
        <v>2</v>
      </c>
      <c r="D67">
        <v>0</v>
      </c>
      <c r="F67">
        <v>16</v>
      </c>
      <c r="G67" s="30" t="s">
        <v>524</v>
      </c>
      <c r="H67" s="30" t="s">
        <v>525</v>
      </c>
      <c r="I67" s="30" t="s">
        <v>526</v>
      </c>
      <c r="J67" s="30" t="s">
        <v>423</v>
      </c>
      <c r="K67" s="30" t="s">
        <v>527</v>
      </c>
      <c r="L67" t="s">
        <v>558</v>
      </c>
      <c r="M67">
        <v>0</v>
      </c>
      <c r="N67" t="s">
        <v>573</v>
      </c>
    </row>
    <row r="68" spans="1:14" x14ac:dyDescent="0.3">
      <c r="A68" t="s">
        <v>572</v>
      </c>
      <c r="B68" t="s">
        <v>38</v>
      </c>
      <c r="C68" s="140">
        <v>2</v>
      </c>
      <c r="D68">
        <v>0</v>
      </c>
      <c r="F68">
        <v>17</v>
      </c>
      <c r="G68" s="30" t="s">
        <v>524</v>
      </c>
      <c r="H68" s="30" t="s">
        <v>525</v>
      </c>
      <c r="I68" s="30" t="s">
        <v>526</v>
      </c>
      <c r="J68" s="30" t="s">
        <v>423</v>
      </c>
      <c r="K68" s="30" t="s">
        <v>527</v>
      </c>
      <c r="L68" t="s">
        <v>558</v>
      </c>
      <c r="M68">
        <v>0</v>
      </c>
      <c r="N68" t="s">
        <v>573</v>
      </c>
    </row>
    <row r="69" spans="1:14" x14ac:dyDescent="0.3">
      <c r="A69" t="s">
        <v>568</v>
      </c>
      <c r="B69" t="s">
        <v>20</v>
      </c>
      <c r="C69" s="140">
        <v>2</v>
      </c>
      <c r="D69">
        <v>0</v>
      </c>
      <c r="F69">
        <v>18</v>
      </c>
      <c r="G69" s="30" t="s">
        <v>524</v>
      </c>
      <c r="H69" s="30" t="s">
        <v>525</v>
      </c>
      <c r="I69" s="30" t="s">
        <v>526</v>
      </c>
      <c r="J69" s="30" t="s">
        <v>423</v>
      </c>
      <c r="K69" s="30" t="s">
        <v>527</v>
      </c>
      <c r="L69" t="s">
        <v>558</v>
      </c>
      <c r="M69">
        <v>0</v>
      </c>
      <c r="N69" t="s">
        <v>573</v>
      </c>
    </row>
    <row r="70" spans="1:14" x14ac:dyDescent="0.3">
      <c r="A70" t="s">
        <v>547</v>
      </c>
      <c r="B70" t="s">
        <v>43</v>
      </c>
      <c r="C70" s="140">
        <v>2</v>
      </c>
      <c r="D70">
        <v>0</v>
      </c>
      <c r="F70">
        <v>19</v>
      </c>
      <c r="G70" s="30" t="s">
        <v>524</v>
      </c>
      <c r="H70" s="30" t="s">
        <v>525</v>
      </c>
      <c r="I70" s="30" t="s">
        <v>526</v>
      </c>
      <c r="J70" s="30" t="s">
        <v>423</v>
      </c>
      <c r="K70" s="30" t="s">
        <v>527</v>
      </c>
      <c r="L70" t="s">
        <v>558</v>
      </c>
      <c r="M70">
        <v>0</v>
      </c>
      <c r="N70" t="s">
        <v>573</v>
      </c>
    </row>
    <row r="71" spans="1:14" x14ac:dyDescent="0.3">
      <c r="A71" t="s">
        <v>536</v>
      </c>
      <c r="B71" t="s">
        <v>48</v>
      </c>
      <c r="C71" s="140">
        <v>2</v>
      </c>
      <c r="D71">
        <v>0</v>
      </c>
      <c r="F71">
        <v>20</v>
      </c>
      <c r="G71" s="30" t="s">
        <v>524</v>
      </c>
      <c r="H71" s="30" t="s">
        <v>525</v>
      </c>
      <c r="I71" s="30" t="s">
        <v>526</v>
      </c>
      <c r="J71" s="30" t="s">
        <v>423</v>
      </c>
      <c r="K71" s="30" t="s">
        <v>527</v>
      </c>
      <c r="L71" t="s">
        <v>558</v>
      </c>
      <c r="M71">
        <v>0</v>
      </c>
      <c r="N71" t="s">
        <v>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595D5-F779-4828-85C3-CEB37FA6BC77}">
  <dimension ref="A1:L1"/>
  <sheetViews>
    <sheetView workbookViewId="0"/>
  </sheetViews>
  <sheetFormatPr defaultColWidth="8.77734375" defaultRowHeight="14.4" x14ac:dyDescent="0.3"/>
  <cols>
    <col min="1" max="1" width="5.109375" bestFit="1" customWidth="1"/>
    <col min="2" max="2" width="5.77734375" bestFit="1" customWidth="1"/>
    <col min="3" max="3" width="18" bestFit="1" customWidth="1"/>
    <col min="4" max="4" width="19" bestFit="1" customWidth="1"/>
    <col min="5" max="5" width="13.44140625" bestFit="1" customWidth="1"/>
    <col min="6" max="6" width="7.44140625" bestFit="1" customWidth="1"/>
    <col min="7" max="8" width="13.44140625" bestFit="1" customWidth="1"/>
    <col min="9" max="9" width="5" bestFit="1" customWidth="1"/>
    <col min="10" max="10" width="8.44140625" bestFit="1" customWidth="1"/>
    <col min="11" max="11" width="8.77734375" bestFit="1" customWidth="1"/>
    <col min="12" max="12" width="6.44140625" bestFit="1" customWidth="1"/>
  </cols>
  <sheetData>
    <row r="1" spans="1:12" x14ac:dyDescent="0.3">
      <c r="A1" s="20" t="s">
        <v>408</v>
      </c>
      <c r="B1" s="20" t="s">
        <v>325</v>
      </c>
      <c r="C1" s="20" t="s">
        <v>410</v>
      </c>
      <c r="D1" s="20" t="s">
        <v>431</v>
      </c>
      <c r="E1" s="25" t="s">
        <v>432</v>
      </c>
      <c r="F1" s="20" t="s">
        <v>414</v>
      </c>
      <c r="G1" s="20" t="s">
        <v>415</v>
      </c>
      <c r="H1" s="20" t="s">
        <v>397</v>
      </c>
      <c r="I1" s="20" t="s">
        <v>389</v>
      </c>
      <c r="J1" s="20" t="s">
        <v>417</v>
      </c>
      <c r="K1" s="20" t="s">
        <v>419</v>
      </c>
      <c r="L1" s="20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Descrizione</vt:lpstr>
      <vt:lpstr>Glossario</vt:lpstr>
      <vt:lpstr>Proprietà Grafiche</vt:lpstr>
      <vt:lpstr>Nodi</vt:lpstr>
      <vt:lpstr>Linee</vt:lpstr>
      <vt:lpstr>Trasformatori</vt:lpstr>
      <vt:lpstr>Carichi_A</vt:lpstr>
      <vt:lpstr>Generatori Rotanti_A</vt:lpstr>
      <vt:lpstr>Generatori Statici_A</vt:lpstr>
      <vt:lpstr>Sistemi di accumulo_A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</dc:creator>
  <cp:lastModifiedBy>Adriano Casu</cp:lastModifiedBy>
  <dcterms:created xsi:type="dcterms:W3CDTF">2013-03-19T10:40:39Z</dcterms:created>
  <dcterms:modified xsi:type="dcterms:W3CDTF">2025-11-20T11:58:20Z</dcterms:modified>
</cp:coreProperties>
</file>